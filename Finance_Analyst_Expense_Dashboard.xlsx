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Calculations" sheetId="3" state="visible" r:id="rId5"/>
    <sheet name="Pivot Tables" sheetId="4" state="visible" r:id="rId6"/>
    <sheet name="Lists" sheetId="5" state="hidden" r:id="rId7"/>
  </sheets>
  <definedNames>
    <definedName function="false" hidden="false" name="DeptList" vbProcedure="false">Lists!$B$1:$B$7</definedName>
    <definedName function="false" hidden="false" name="RegionList" vbProcedure="false">Lists!$A$1:$A$5</definedName>
    <definedName function="false" hidden="false" name="StatusList" vbProcedure="false">Lists!$C$1:$C$4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<sst xmlns="http://schemas.openxmlformats.org/spreadsheetml/2006/main" count="1431" uniqueCount="339">
  <si>
    <t xml:space="preserve">FY2025 Expense Management Dashboard</t>
  </si>
  <si>
    <t xml:space="preserve">Prepared by: Finance Analyst  |  Data Source: Raw Data (250 transactions)  |  Use slicers below to filter by Region, Department, and Status</t>
  </si>
  <si>
    <t xml:space="preserve">Region Filter</t>
  </si>
  <si>
    <t xml:space="preserve">All</t>
  </si>
  <si>
    <t xml:space="preserve">Department Filter</t>
  </si>
  <si>
    <t xml:space="preserve">Status Filter</t>
  </si>
  <si>
    <t xml:space="preserve">Filtered Total Actual:</t>
  </si>
  <si>
    <t xml:space="preserve">Filtered Count:</t>
  </si>
  <si>
    <t xml:space="preserve">Total Budget ($)</t>
  </si>
  <si>
    <t xml:space="preserve">Total Actual Spend ($)</t>
  </si>
  <si>
    <t xml:space="preserve">Variance % vs Budget</t>
  </si>
  <si>
    <t xml:space="preserve">Avg Transaction Value ($)</t>
  </si>
  <si>
    <t xml:space="preserve">Approval Rate %</t>
  </si>
  <si>
    <t xml:space="preserve">Total Transactions</t>
  </si>
  <si>
    <t xml:space="preserve">Chart Data (linked)</t>
  </si>
  <si>
    <t xml:space="preserve">Region</t>
  </si>
  <si>
    <t xml:space="preserve">Budget</t>
  </si>
  <si>
    <t xml:space="preserve">Actual</t>
  </si>
  <si>
    <t xml:space="preserve">Month</t>
  </si>
  <si>
    <t xml:space="preserve">Category</t>
  </si>
  <si>
    <t xml:space="preserve">Department</t>
  </si>
  <si>
    <t xml:space="preserve">Status</t>
  </si>
  <si>
    <t xml:space="preserve">Count</t>
  </si>
  <si>
    <t xml:space="preserve">Approved</t>
  </si>
  <si>
    <t xml:space="preserve">Pending</t>
  </si>
  <si>
    <t xml:space="preserve">Rejected</t>
  </si>
  <si>
    <t xml:space="preserve">Transaction ID</t>
  </si>
  <si>
    <t xml:space="preserve">Date</t>
  </si>
  <si>
    <t xml:space="preserve">Budgeted Amount</t>
  </si>
  <si>
    <t xml:space="preserve">Actual Amount</t>
  </si>
  <si>
    <t xml:space="preserve">Variance</t>
  </si>
  <si>
    <t xml:space="preserve">Employee Count</t>
  </si>
  <si>
    <t xml:space="preserve">TXN-1001</t>
  </si>
  <si>
    <t xml:space="preserve">North America</t>
  </si>
  <si>
    <t xml:space="preserve">Sales</t>
  </si>
  <si>
    <t xml:space="preserve">Advertising</t>
  </si>
  <si>
    <t xml:space="preserve">TXN-1002</t>
  </si>
  <si>
    <t xml:space="preserve">Latin America</t>
  </si>
  <si>
    <t xml:space="preserve">Salaries</t>
  </si>
  <si>
    <t xml:space="preserve">TXN-1003</t>
  </si>
  <si>
    <t xml:space="preserve">Marketing</t>
  </si>
  <si>
    <t xml:space="preserve">Training</t>
  </si>
  <si>
    <t xml:space="preserve">TXN-1004</t>
  </si>
  <si>
    <t xml:space="preserve">Operations</t>
  </si>
  <si>
    <t xml:space="preserve">TXN-1005</t>
  </si>
  <si>
    <t xml:space="preserve">Utilities</t>
  </si>
  <si>
    <t xml:space="preserve">TXN-1006</t>
  </si>
  <si>
    <t xml:space="preserve">TXN-1007</t>
  </si>
  <si>
    <t xml:space="preserve">Office Supplies</t>
  </si>
  <si>
    <t xml:space="preserve">TXN-1008</t>
  </si>
  <si>
    <t xml:space="preserve">Asia Pacific</t>
  </si>
  <si>
    <t xml:space="preserve">IT</t>
  </si>
  <si>
    <t xml:space="preserve">TXN-1009</t>
  </si>
  <si>
    <t xml:space="preserve">HR</t>
  </si>
  <si>
    <t xml:space="preserve">Travel</t>
  </si>
  <si>
    <t xml:space="preserve">TXN-1010</t>
  </si>
  <si>
    <t xml:space="preserve">Europe</t>
  </si>
  <si>
    <t xml:space="preserve">Finance</t>
  </si>
  <si>
    <t xml:space="preserve">TXN-1011</t>
  </si>
  <si>
    <t xml:space="preserve">Software</t>
  </si>
  <si>
    <t xml:space="preserve">TXN-1012</t>
  </si>
  <si>
    <t xml:space="preserve">TXN-1013</t>
  </si>
  <si>
    <t xml:space="preserve">Consulting</t>
  </si>
  <si>
    <t xml:space="preserve">TXN-1014</t>
  </si>
  <si>
    <t xml:space="preserve">TXN-1015</t>
  </si>
  <si>
    <t xml:space="preserve">TXN-1016</t>
  </si>
  <si>
    <t xml:space="preserve">TXN-1017</t>
  </si>
  <si>
    <t xml:space="preserve">TXN-1018</t>
  </si>
  <si>
    <t xml:space="preserve">TXN-1019</t>
  </si>
  <si>
    <t xml:space="preserve">TXN-1020</t>
  </si>
  <si>
    <t xml:space="preserve">TXN-1021</t>
  </si>
  <si>
    <t xml:space="preserve">TXN-1022</t>
  </si>
  <si>
    <t xml:space="preserve">TXN-1023</t>
  </si>
  <si>
    <t xml:space="preserve">TXN-1024</t>
  </si>
  <si>
    <t xml:space="preserve">TXN-1025</t>
  </si>
  <si>
    <t xml:space="preserve">TXN-1026</t>
  </si>
  <si>
    <t xml:space="preserve">TXN-1027</t>
  </si>
  <si>
    <t xml:space="preserve">TXN-1028</t>
  </si>
  <si>
    <t xml:space="preserve">TXN-1029</t>
  </si>
  <si>
    <t xml:space="preserve">TXN-1030</t>
  </si>
  <si>
    <t xml:space="preserve">TXN-1031</t>
  </si>
  <si>
    <t xml:space="preserve">TXN-1032</t>
  </si>
  <si>
    <t xml:space="preserve">TXN-1033</t>
  </si>
  <si>
    <t xml:space="preserve">TXN-1034</t>
  </si>
  <si>
    <t xml:space="preserve">TXN-1035</t>
  </si>
  <si>
    <t xml:space="preserve">TXN-1036</t>
  </si>
  <si>
    <t xml:space="preserve">TXN-1037</t>
  </si>
  <si>
    <t xml:space="preserve">TXN-1038</t>
  </si>
  <si>
    <t xml:space="preserve">TXN-1039</t>
  </si>
  <si>
    <t xml:space="preserve">TXN-1040</t>
  </si>
  <si>
    <t xml:space="preserve">TXN-1041</t>
  </si>
  <si>
    <t xml:space="preserve">TXN-1042</t>
  </si>
  <si>
    <t xml:space="preserve">TXN-1043</t>
  </si>
  <si>
    <t xml:space="preserve">TXN-1044</t>
  </si>
  <si>
    <t xml:space="preserve">TXN-1045</t>
  </si>
  <si>
    <t xml:space="preserve">TXN-1046</t>
  </si>
  <si>
    <t xml:space="preserve">TXN-1047</t>
  </si>
  <si>
    <t xml:space="preserve">TXN-1048</t>
  </si>
  <si>
    <t xml:space="preserve">TXN-1049</t>
  </si>
  <si>
    <t xml:space="preserve">TXN-1050</t>
  </si>
  <si>
    <t xml:space="preserve">TXN-1051</t>
  </si>
  <si>
    <t xml:space="preserve">TXN-1052</t>
  </si>
  <si>
    <t xml:space="preserve">TXN-1053</t>
  </si>
  <si>
    <t xml:space="preserve">TXN-1054</t>
  </si>
  <si>
    <t xml:space="preserve">TXN-1055</t>
  </si>
  <si>
    <t xml:space="preserve">TXN-1056</t>
  </si>
  <si>
    <t xml:space="preserve">TXN-1057</t>
  </si>
  <si>
    <t xml:space="preserve">TXN-1058</t>
  </si>
  <si>
    <t xml:space="preserve">TXN-1059</t>
  </si>
  <si>
    <t xml:space="preserve">TXN-1060</t>
  </si>
  <si>
    <t xml:space="preserve">TXN-1061</t>
  </si>
  <si>
    <t xml:space="preserve">TXN-1062</t>
  </si>
  <si>
    <t xml:space="preserve">TXN-1063</t>
  </si>
  <si>
    <t xml:space="preserve">TXN-1064</t>
  </si>
  <si>
    <t xml:space="preserve">TXN-1065</t>
  </si>
  <si>
    <t xml:space="preserve">TXN-1066</t>
  </si>
  <si>
    <t xml:space="preserve">TXN-1067</t>
  </si>
  <si>
    <t xml:space="preserve">TXN-1068</t>
  </si>
  <si>
    <t xml:space="preserve">TXN-1069</t>
  </si>
  <si>
    <t xml:space="preserve">TXN-1070</t>
  </si>
  <si>
    <t xml:space="preserve">TXN-1071</t>
  </si>
  <si>
    <t xml:space="preserve">TXN-1072</t>
  </si>
  <si>
    <t xml:space="preserve">TXN-1073</t>
  </si>
  <si>
    <t xml:space="preserve">TXN-1074</t>
  </si>
  <si>
    <t xml:space="preserve">TXN-1075</t>
  </si>
  <si>
    <t xml:space="preserve">TXN-1076</t>
  </si>
  <si>
    <t xml:space="preserve">TXN-1077</t>
  </si>
  <si>
    <t xml:space="preserve">TXN-1078</t>
  </si>
  <si>
    <t xml:space="preserve">TXN-1079</t>
  </si>
  <si>
    <t xml:space="preserve">TXN-1080</t>
  </si>
  <si>
    <t xml:space="preserve">TXN-1081</t>
  </si>
  <si>
    <t xml:space="preserve">TXN-1082</t>
  </si>
  <si>
    <t xml:space="preserve">TXN-1083</t>
  </si>
  <si>
    <t xml:space="preserve">TXN-1084</t>
  </si>
  <si>
    <t xml:space="preserve">TXN-1085</t>
  </si>
  <si>
    <t xml:space="preserve">TXN-1086</t>
  </si>
  <si>
    <t xml:space="preserve">TXN-1087</t>
  </si>
  <si>
    <t xml:space="preserve">TXN-1088</t>
  </si>
  <si>
    <t xml:space="preserve">TXN-1089</t>
  </si>
  <si>
    <t xml:space="preserve">TXN-1090</t>
  </si>
  <si>
    <t xml:space="preserve">TXN-1091</t>
  </si>
  <si>
    <t xml:space="preserve">TXN-1092</t>
  </si>
  <si>
    <t xml:space="preserve">TXN-1093</t>
  </si>
  <si>
    <t xml:space="preserve">TXN-1094</t>
  </si>
  <si>
    <t xml:space="preserve">TXN-1095</t>
  </si>
  <si>
    <t xml:space="preserve">TXN-1096</t>
  </si>
  <si>
    <t xml:space="preserve">TXN-1097</t>
  </si>
  <si>
    <t xml:space="preserve">TXN-1098</t>
  </si>
  <si>
    <t xml:space="preserve">TXN-1099</t>
  </si>
  <si>
    <t xml:space="preserve">TXN-1100</t>
  </si>
  <si>
    <t xml:space="preserve">TXN-1101</t>
  </si>
  <si>
    <t xml:space="preserve">TXN-1102</t>
  </si>
  <si>
    <t xml:space="preserve">TXN-1103</t>
  </si>
  <si>
    <t xml:space="preserve">TXN-1104</t>
  </si>
  <si>
    <t xml:space="preserve">TXN-1105</t>
  </si>
  <si>
    <t xml:space="preserve">TXN-1106</t>
  </si>
  <si>
    <t xml:space="preserve">TXN-1107</t>
  </si>
  <si>
    <t xml:space="preserve">TXN-1108</t>
  </si>
  <si>
    <t xml:space="preserve">TXN-1109</t>
  </si>
  <si>
    <t xml:space="preserve">TXN-1110</t>
  </si>
  <si>
    <t xml:space="preserve">TXN-1111</t>
  </si>
  <si>
    <t xml:space="preserve">TXN-1112</t>
  </si>
  <si>
    <t xml:space="preserve">TXN-1113</t>
  </si>
  <si>
    <t xml:space="preserve">TXN-1114</t>
  </si>
  <si>
    <t xml:space="preserve">TXN-1115</t>
  </si>
  <si>
    <t xml:space="preserve">TXN-1116</t>
  </si>
  <si>
    <t xml:space="preserve">TXN-1117</t>
  </si>
  <si>
    <t xml:space="preserve">TXN-1118</t>
  </si>
  <si>
    <t xml:space="preserve">TXN-1119</t>
  </si>
  <si>
    <t xml:space="preserve">TXN-1120</t>
  </si>
  <si>
    <t xml:space="preserve">TXN-1121</t>
  </si>
  <si>
    <t xml:space="preserve">TXN-1122</t>
  </si>
  <si>
    <t xml:space="preserve">TXN-1123</t>
  </si>
  <si>
    <t xml:space="preserve">TXN-1124</t>
  </si>
  <si>
    <t xml:space="preserve">TXN-1125</t>
  </si>
  <si>
    <t xml:space="preserve">TXN-1126</t>
  </si>
  <si>
    <t xml:space="preserve">TXN-1127</t>
  </si>
  <si>
    <t xml:space="preserve">TXN-1128</t>
  </si>
  <si>
    <t xml:space="preserve">TXN-1129</t>
  </si>
  <si>
    <t xml:space="preserve">TXN-1130</t>
  </si>
  <si>
    <t xml:space="preserve">TXN-1131</t>
  </si>
  <si>
    <t xml:space="preserve">TXN-1132</t>
  </si>
  <si>
    <t xml:space="preserve">TXN-1133</t>
  </si>
  <si>
    <t xml:space="preserve">TXN-1134</t>
  </si>
  <si>
    <t xml:space="preserve">TXN-1135</t>
  </si>
  <si>
    <t xml:space="preserve">TXN-1136</t>
  </si>
  <si>
    <t xml:space="preserve">TXN-1137</t>
  </si>
  <si>
    <t xml:space="preserve">TXN-1138</t>
  </si>
  <si>
    <t xml:space="preserve">TXN-1139</t>
  </si>
  <si>
    <t xml:space="preserve">TXN-1140</t>
  </si>
  <si>
    <t xml:space="preserve">TXN-1141</t>
  </si>
  <si>
    <t xml:space="preserve">TXN-1142</t>
  </si>
  <si>
    <t xml:space="preserve">TXN-1143</t>
  </si>
  <si>
    <t xml:space="preserve">TXN-1144</t>
  </si>
  <si>
    <t xml:space="preserve">TXN-1145</t>
  </si>
  <si>
    <t xml:space="preserve">TXN-1146</t>
  </si>
  <si>
    <t xml:space="preserve">TXN-1147</t>
  </si>
  <si>
    <t xml:space="preserve">TXN-1148</t>
  </si>
  <si>
    <t xml:space="preserve">TXN-1149</t>
  </si>
  <si>
    <t xml:space="preserve">TXN-1150</t>
  </si>
  <si>
    <t xml:space="preserve">TXN-1151</t>
  </si>
  <si>
    <t xml:space="preserve">TXN-1152</t>
  </si>
  <si>
    <t xml:space="preserve">TXN-1153</t>
  </si>
  <si>
    <t xml:space="preserve">TXN-1154</t>
  </si>
  <si>
    <t xml:space="preserve">TXN-1155</t>
  </si>
  <si>
    <t xml:space="preserve">TXN-1156</t>
  </si>
  <si>
    <t xml:space="preserve">TXN-1157</t>
  </si>
  <si>
    <t xml:space="preserve">TXN-1158</t>
  </si>
  <si>
    <t xml:space="preserve">TXN-1159</t>
  </si>
  <si>
    <t xml:space="preserve">TXN-1160</t>
  </si>
  <si>
    <t xml:space="preserve">TXN-1161</t>
  </si>
  <si>
    <t xml:space="preserve">TXN-1162</t>
  </si>
  <si>
    <t xml:space="preserve">TXN-1163</t>
  </si>
  <si>
    <t xml:space="preserve">TXN-1164</t>
  </si>
  <si>
    <t xml:space="preserve">TXN-1165</t>
  </si>
  <si>
    <t xml:space="preserve">TXN-1166</t>
  </si>
  <si>
    <t xml:space="preserve">TXN-1167</t>
  </si>
  <si>
    <t xml:space="preserve">TXN-1168</t>
  </si>
  <si>
    <t xml:space="preserve">TXN-1169</t>
  </si>
  <si>
    <t xml:space="preserve">TXN-1170</t>
  </si>
  <si>
    <t xml:space="preserve">TXN-1171</t>
  </si>
  <si>
    <t xml:space="preserve">TXN-1172</t>
  </si>
  <si>
    <t xml:space="preserve">TXN-1173</t>
  </si>
  <si>
    <t xml:space="preserve">TXN-1174</t>
  </si>
  <si>
    <t xml:space="preserve">TXN-1175</t>
  </si>
  <si>
    <t xml:space="preserve">TXN-1176</t>
  </si>
  <si>
    <t xml:space="preserve">TXN-1177</t>
  </si>
  <si>
    <t xml:space="preserve">TXN-1178</t>
  </si>
  <si>
    <t xml:space="preserve">TXN-1179</t>
  </si>
  <si>
    <t xml:space="preserve">TXN-1180</t>
  </si>
  <si>
    <t xml:space="preserve">TXN-1181</t>
  </si>
  <si>
    <t xml:space="preserve">TXN-1182</t>
  </si>
  <si>
    <t xml:space="preserve">TXN-1183</t>
  </si>
  <si>
    <t xml:space="preserve">TXN-1184</t>
  </si>
  <si>
    <t xml:space="preserve">TXN-1185</t>
  </si>
  <si>
    <t xml:space="preserve">TXN-1186</t>
  </si>
  <si>
    <t xml:space="preserve">TXN-1187</t>
  </si>
  <si>
    <t xml:space="preserve">TXN-1188</t>
  </si>
  <si>
    <t xml:space="preserve">TXN-1189</t>
  </si>
  <si>
    <t xml:space="preserve">TXN-1190</t>
  </si>
  <si>
    <t xml:space="preserve">TXN-1191</t>
  </si>
  <si>
    <t xml:space="preserve">TXN-1192</t>
  </si>
  <si>
    <t xml:space="preserve">TXN-1193</t>
  </si>
  <si>
    <t xml:space="preserve">TXN-1194</t>
  </si>
  <si>
    <t xml:space="preserve">TXN-1195</t>
  </si>
  <si>
    <t xml:space="preserve">TXN-1196</t>
  </si>
  <si>
    <t xml:space="preserve">TXN-1197</t>
  </si>
  <si>
    <t xml:space="preserve">TXN-1198</t>
  </si>
  <si>
    <t xml:space="preserve">TXN-1199</t>
  </si>
  <si>
    <t xml:space="preserve">TXN-1200</t>
  </si>
  <si>
    <t xml:space="preserve">TXN-1201</t>
  </si>
  <si>
    <t xml:space="preserve">TXN-1202</t>
  </si>
  <si>
    <t xml:space="preserve">TXN-1203</t>
  </si>
  <si>
    <t xml:space="preserve">TXN-1204</t>
  </si>
  <si>
    <t xml:space="preserve">TXN-1205</t>
  </si>
  <si>
    <t xml:space="preserve">TXN-1206</t>
  </si>
  <si>
    <t xml:space="preserve">TXN-1207</t>
  </si>
  <si>
    <t xml:space="preserve">TXN-1208</t>
  </si>
  <si>
    <t xml:space="preserve">TXN-1209</t>
  </si>
  <si>
    <t xml:space="preserve">TXN-1210</t>
  </si>
  <si>
    <t xml:space="preserve">TXN-1211</t>
  </si>
  <si>
    <t xml:space="preserve">TXN-1212</t>
  </si>
  <si>
    <t xml:space="preserve">TXN-1213</t>
  </si>
  <si>
    <t xml:space="preserve">TXN-1214</t>
  </si>
  <si>
    <t xml:space="preserve">TXN-1215</t>
  </si>
  <si>
    <t xml:space="preserve">TXN-1216</t>
  </si>
  <si>
    <t xml:space="preserve">TXN-1217</t>
  </si>
  <si>
    <t xml:space="preserve">TXN-1218</t>
  </si>
  <si>
    <t xml:space="preserve">TXN-1219</t>
  </si>
  <si>
    <t xml:space="preserve">TXN-1220</t>
  </si>
  <si>
    <t xml:space="preserve">TXN-1221</t>
  </si>
  <si>
    <t xml:space="preserve">TXN-1222</t>
  </si>
  <si>
    <t xml:space="preserve">TXN-1223</t>
  </si>
  <si>
    <t xml:space="preserve">TXN-1224</t>
  </si>
  <si>
    <t xml:space="preserve">TXN-1225</t>
  </si>
  <si>
    <t xml:space="preserve">TXN-1226</t>
  </si>
  <si>
    <t xml:space="preserve">TXN-1227</t>
  </si>
  <si>
    <t xml:space="preserve">TXN-1228</t>
  </si>
  <si>
    <t xml:space="preserve">TXN-1229</t>
  </si>
  <si>
    <t xml:space="preserve">TXN-1230</t>
  </si>
  <si>
    <t xml:space="preserve">TXN-1231</t>
  </si>
  <si>
    <t xml:space="preserve">TXN-1232</t>
  </si>
  <si>
    <t xml:space="preserve">TXN-1233</t>
  </si>
  <si>
    <t xml:space="preserve">TXN-1234</t>
  </si>
  <si>
    <t xml:space="preserve">TXN-1235</t>
  </si>
  <si>
    <t xml:space="preserve">TXN-1236</t>
  </si>
  <si>
    <t xml:space="preserve">TXN-1237</t>
  </si>
  <si>
    <t xml:space="preserve">TXN-1238</t>
  </si>
  <si>
    <t xml:space="preserve">TXN-1239</t>
  </si>
  <si>
    <t xml:space="preserve">TXN-1240</t>
  </si>
  <si>
    <t xml:space="preserve">TXN-1241</t>
  </si>
  <si>
    <t xml:space="preserve">TXN-1242</t>
  </si>
  <si>
    <t xml:space="preserve">TXN-1243</t>
  </si>
  <si>
    <t xml:space="preserve">TXN-1244</t>
  </si>
  <si>
    <t xml:space="preserve">TXN-1245</t>
  </si>
  <si>
    <t xml:space="preserve">TXN-1246</t>
  </si>
  <si>
    <t xml:space="preserve">TXN-1247</t>
  </si>
  <si>
    <t xml:space="preserve">TXN-1248</t>
  </si>
  <si>
    <t xml:space="preserve">TXN-1249</t>
  </si>
  <si>
    <t xml:space="preserve">TXN-1250</t>
  </si>
  <si>
    <t xml:space="preserve">Financial Calculations &amp; Summary Analysis</t>
  </si>
  <si>
    <t xml:space="preserve">All figures pull directly from the Raw Data table (green = cross-sheet links)</t>
  </si>
  <si>
    <t xml:space="preserve">1. Overall Budget vs Actual Summary</t>
  </si>
  <si>
    <t xml:space="preserve">Metric</t>
  </si>
  <si>
    <t xml:space="preserve">Value</t>
  </si>
  <si>
    <t xml:space="preserve">Total Budgeted Amount</t>
  </si>
  <si>
    <t xml:space="preserve">Total Actual Amount</t>
  </si>
  <si>
    <t xml:space="preserve">Total Variance (Actual - Budget)</t>
  </si>
  <si>
    <t xml:space="preserve">Variance %</t>
  </si>
  <si>
    <t xml:space="preserve">Average Transaction (Actual)</t>
  </si>
  <si>
    <t xml:space="preserve">Number of Transactions</t>
  </si>
  <si>
    <t xml:space="preserve">Approved Transactions</t>
  </si>
  <si>
    <t xml:space="preserve">Total Employee Count Covered</t>
  </si>
  <si>
    <t xml:space="preserve">Highest Single Actual Expense</t>
  </si>
  <si>
    <t xml:space="preserve">Lowest Single Actual Expense</t>
  </si>
  <si>
    <t xml:space="preserve">2. Summary by Region</t>
  </si>
  <si>
    <t xml:space="preserve">Total Budget</t>
  </si>
  <si>
    <t xml:space="preserve">Total Actual</t>
  </si>
  <si>
    <t xml:space="preserve">3. Summary by Department</t>
  </si>
  <si>
    <t xml:space="preserve">4. Summary by 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</si>
  <si>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</si>
  <si>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</si>
  <si>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</si>
  <si>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</si>
  <si>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</si>
  <si>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</si>
  <si>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</si>
  <si>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</si>
  <si>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</si>
  <si>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</si>
  <si>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</si>
  <si>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</si>
  <si>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5. Summary by Expense Category</t>
  </si>
  <si>
    <t xml:space="preserve">Pivot Tables — Region x Department Analysis</t>
  </si>
  <si>
    <t xml:space="preserve">Cross-tabulated views built with SUMIFS against the Raw Data table</t>
  </si>
  <si>
    <t xml:space="preserve">Pivot 1: Actual Amount by Region (rows) and Department (columns)</t>
  </si>
  <si>
    <t xml:space="preserve">Grand Total</t>
  </si>
  <si>
    <t xml:space="preserve">Pivot 2: Count of Transactions by Category (rows) and Status (columns)</t>
  </si>
  <si>
    <t xml:space="preserve">Pivot 3: Variance (Actual - Budget) by Month (rows) and Region (columns)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</si>
</sst>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0.0%"/>
    <numFmt numFmtId="168" formatCode="mm/dd/yyyy"/>
    <numFmt numFmtId="169" formatCode="\$#,##0.00"/>
    <numFmt numFmtId="170" formatCode="\$#,##0.00;&quot;($&quot;#,##0.00\)"/>
    <numFmt numFmtId="171" formatCode="\$#,##0;&quot;($&quot;#,##0\)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DF3FB"/>
      </patternFill>
    </fill>
    <fill>
      <patternFill patternType="solid">
        <fgColor rgb="FFEDF3FB"/>
        <bgColor rgb="FFFFFFFF"/>
      </patternFill>
    </fill>
    <fill>
      <patternFill patternType="solid">
        <fgColor rgb="FF2E75B6"/>
        <bgColor rgb="FF4672A8"/>
      </patternFill>
    </fill>
    <fill>
      <patternFill patternType="solid">
        <fgColor rgb="FF1F4E78"/>
        <bgColor rgb="FF003366"/>
      </patternFill>
    </fill>
    <fill>
      <patternFill patternType="solid">
        <fgColor rgb="FFD9E2F3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 diagonalUp="false" diagonalDown="false">
      <left style="thin">
        <color rgb="FF8FAADC"/>
      </left>
      <right style="thin">
        <color rgb="FF8FAADC"/>
      </right>
      <top style="thin">
        <color rgb="FF8FAADC"/>
      </top>
      <bottom style="thin">
        <color rgb="FF8FAADC"/>
      </bottom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4A7EBB"/>
      <rgbColor rgb="FFB7C6D9"/>
      <rgbColor rgb="FF878787"/>
      <rgbColor rgb="FF8FAADC"/>
      <rgbColor rgb="FFAB4744"/>
      <rgbColor rgb="FFFFF2CC"/>
      <rgbColor rgb="FFEDF3FB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9E2F3"/>
      <rgbColor rgb="FFCCFFCC"/>
      <rgbColor rgb="FFFFFF99"/>
      <rgbColor rgb="FF8AA64F"/>
      <rgbColor rgb="FFD09493"/>
      <rgbColor rgb="FFCC99FF"/>
      <rgbColor rgb="FFFFCC99"/>
      <rgbColor rgb="FF2E75B6"/>
      <rgbColor rgb="FF33CCCC"/>
      <rgbColor rgb="FF9BBB59"/>
      <rgbColor rgb="FFFFCC00"/>
      <rgbColor rgb="FFBF9000"/>
      <rgbColor rgb="FFFF6600"/>
      <rgbColor rgb="FF725990"/>
      <rgbColor rgb="FF93A9CE"/>
      <rgbColor rgb="FF003366"/>
      <rgbColor rgb="FF4299B0"/>
      <rgbColor rgb="FF003300"/>
      <rgbColor rgb="FF333300"/>
      <rgbColor rgb="FFC0504D"/>
      <rgbColor rgb="FFBE4B48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</c:strCache>
            </c:strRef>
          </c:cat>
          <c:val>
            <c:numRef>
              <c:f>Dashboard!$B$11:$B$14</c:f>
              <c:numCache>
                <c:formatCode>\$#,##0</c:formatCode>
                <c:ptCount val="4"/>
                <c:pt idx="0">
                  <c:v>184317.11</c:v>
                </c:pt>
                <c:pt idx="1">
                  <c:v>121130.08</c:v>
                </c:pt>
                <c:pt idx="2">
                  <c:v>172142.56</c:v>
                </c:pt>
                <c:pt idx="3">
                  <c:v>135314.44</c:v>
                </c:pt>
              </c:numCache>
            </c:numRef>
          </c:val>
        </c:ser>
        <c:ser>
          <c:idx val="1"/>
          <c:order val="1"/>
          <c:tx>
            <c:strRef>
              <c:f>Dashboard!C10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</c:strCache>
            </c:strRef>
          </c:cat>
          <c:val>
            <c:numRef>
              <c:f>Dashboard!$C$11:$C$14</c:f>
              <c:numCache>
                <c:formatCode>\$#,##0</c:formatCode>
                <c:ptCount val="4"/>
                <c:pt idx="0">
                  <c:v>191481.44</c:v>
                </c:pt>
                <c:pt idx="1">
                  <c:v>125348.36</c:v>
                </c:pt>
                <c:pt idx="2">
                  <c:v>172470.26</c:v>
                </c:pt>
                <c:pt idx="3">
                  <c:v>136640.79</c:v>
                </c:pt>
              </c:numCache>
            </c:numRef>
          </c:val>
        </c:ser>
        <c:gapWidth val="150"/>
        <c:overlap val="0"/>
        <c:axId val="8354772"/>
        <c:axId val="7994421"/>
      </c:barChart>
      <c:catAx>
        <c:axId val="83547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4421"/>
        <c:crosses val="autoZero"/>
        <c:auto val="1"/>
        <c:lblAlgn val="ctr"/>
        <c:lblOffset val="100"/>
        <c:noMultiLvlLbl val="0"/>
      </c:catAx>
      <c:valAx>
        <c:axId val="7994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47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 Trend: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Dashboard!F10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Dashboard!$E$11:$E$22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Dashboard!$F$11:$F$22</c:f>
              <c:numCache>
                <c:formatCode>\$#,##0</c:formatCode>
                <c:ptCount val="12"/>
                <c:pt idx="0">
                  <c:v>52019.5</c:v>
                </c:pt>
                <c:pt idx="1">
                  <c:v>51164.76</c:v>
                </c:pt>
                <c:pt idx="2">
                  <c:v>47008.12</c:v>
                </c:pt>
                <c:pt idx="3">
                  <c:v>52502.46</c:v>
                </c:pt>
                <c:pt idx="4">
                  <c:v>27105.71</c:v>
                </c:pt>
                <c:pt idx="5">
                  <c:v>42943.98</c:v>
                </c:pt>
                <c:pt idx="6">
                  <c:v>41685.16</c:v>
                </c:pt>
                <c:pt idx="7">
                  <c:v>90401.78</c:v>
                </c:pt>
                <c:pt idx="8">
                  <c:v>34057.21</c:v>
                </c:pt>
                <c:pt idx="9">
                  <c:v>49872.18</c:v>
                </c:pt>
                <c:pt idx="10">
                  <c:v>46134.32</c:v>
                </c:pt>
                <c:pt idx="11">
                  <c:v>78009.01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Dashboard!G10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Dashboard!$E$11:$E$22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Dashboard!$G$11:$G$22</c:f>
              <c:numCache>
                <c:formatCode>\$#,##0</c:formatCode>
                <c:ptCount val="12"/>
                <c:pt idx="0">
                  <c:v>53344.24</c:v>
                </c:pt>
                <c:pt idx="1">
                  <c:v>50163.01</c:v>
                </c:pt>
                <c:pt idx="2">
                  <c:v>48325.09</c:v>
                </c:pt>
                <c:pt idx="3">
                  <c:v>58772.79</c:v>
                </c:pt>
                <c:pt idx="4">
                  <c:v>29109.94</c:v>
                </c:pt>
                <c:pt idx="5">
                  <c:v>42340.5</c:v>
                </c:pt>
                <c:pt idx="6">
                  <c:v>41118.07</c:v>
                </c:pt>
                <c:pt idx="7">
                  <c:v>94734.38</c:v>
                </c:pt>
                <c:pt idx="8">
                  <c:v>31909.58</c:v>
                </c:pt>
                <c:pt idx="9">
                  <c:v>52438.26</c:v>
                </c:pt>
                <c:pt idx="10">
                  <c:v>42898.58</c:v>
                </c:pt>
                <c:pt idx="11">
                  <c:v>80786.41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082990"/>
        <c:axId val="12046605"/>
      </c:lineChart>
      <c:catAx>
        <c:axId val="150829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46605"/>
        <c:crosses val="autoZero"/>
        <c:auto val="1"/>
        <c:lblAlgn val="ctr"/>
        <c:lblOffset val="100"/>
        <c:noMultiLvlLbl val="0"/>
      </c:catAx>
      <c:valAx>
        <c:axId val="12046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82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Spend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Dashboard!J10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numFmt formatCode="\$#,##0" sourceLinked="1"/>
            <c:dLbl>
              <c:idx val="0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Dashboard!$I$11:$I$18</c:f>
              <c:strCache>
                <c:ptCount val="8"/>
                <c:pt idx="0">
                  <c:v>Salaries</c:v>
                </c:pt>
                <c:pt idx="1">
                  <c:v>Software</c:v>
                </c:pt>
                <c:pt idx="2">
                  <c:v>Travel</c:v>
                </c:pt>
                <c:pt idx="3">
                  <c:v>Office Supplies</c:v>
                </c:pt>
                <c:pt idx="4">
                  <c:v>Advertising</c:v>
                </c:pt>
                <c:pt idx="5">
                  <c:v>Utilities</c:v>
                </c:pt>
                <c:pt idx="6">
                  <c:v>Consulting</c:v>
                </c:pt>
                <c:pt idx="7">
                  <c:v>Training</c:v>
                </c:pt>
              </c:strCache>
            </c:strRef>
          </c:cat>
          <c:val>
            <c:numRef>
              <c:f>Dashboard!$J$11:$J$18</c:f>
              <c:numCache>
                <c:formatCode>\$#,##0</c:formatCode>
                <c:ptCount val="8"/>
                <c:pt idx="0">
                  <c:v>294760.15</c:v>
                </c:pt>
                <c:pt idx="1">
                  <c:v>34275.54</c:v>
                </c:pt>
                <c:pt idx="2">
                  <c:v>32826.98</c:v>
                </c:pt>
                <c:pt idx="3">
                  <c:v>11324.12</c:v>
                </c:pt>
                <c:pt idx="4">
                  <c:v>92787.32</c:v>
                </c:pt>
                <c:pt idx="5">
                  <c:v>20839.79</c:v>
                </c:pt>
                <c:pt idx="6">
                  <c:v>110865.67</c:v>
                </c:pt>
                <c:pt idx="7">
                  <c:v>28261.28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Dashboard!$A$25:$A$30</c:f>
              <c:strCache>
                <c:ptCount val="6"/>
                <c:pt idx="0">
                  <c:v>Sales</c:v>
                </c:pt>
                <c:pt idx="1">
                  <c:v>Marketing</c:v>
                </c:pt>
                <c:pt idx="2">
                  <c:v>Operations</c:v>
                </c:pt>
                <c:pt idx="3">
                  <c:v>IT</c:v>
                </c:pt>
                <c:pt idx="4">
                  <c:v>HR</c:v>
                </c:pt>
                <c:pt idx="5">
                  <c:v>Finance</c:v>
                </c:pt>
              </c:strCache>
            </c:strRef>
          </c:cat>
          <c:val>
            <c:numRef>
              <c:f>Dashboard!$B$25:$B$30</c:f>
              <c:numCache>
                <c:formatCode>\$#,##0</c:formatCode>
                <c:ptCount val="6"/>
                <c:pt idx="0">
                  <c:v>124332.03</c:v>
                </c:pt>
                <c:pt idx="1">
                  <c:v>75052.35</c:v>
                </c:pt>
                <c:pt idx="2">
                  <c:v>75092.01</c:v>
                </c:pt>
                <c:pt idx="3">
                  <c:v>109255.17</c:v>
                </c:pt>
                <c:pt idx="4">
                  <c:v>134917.12</c:v>
                </c:pt>
                <c:pt idx="5">
                  <c:v>94255.51</c:v>
                </c:pt>
              </c:numCache>
            </c:numRef>
          </c:val>
        </c:ser>
        <c:ser>
          <c:idx val="1"/>
          <c:order val="1"/>
          <c:tx>
            <c:strRef>
              <c:f>Dashboard!C24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Dashboard!$A$25:$A$30</c:f>
              <c:strCache>
                <c:ptCount val="6"/>
                <c:pt idx="0">
                  <c:v>Sales</c:v>
                </c:pt>
                <c:pt idx="1">
                  <c:v>Marketing</c:v>
                </c:pt>
                <c:pt idx="2">
                  <c:v>Operations</c:v>
                </c:pt>
                <c:pt idx="3">
                  <c:v>IT</c:v>
                </c:pt>
                <c:pt idx="4">
                  <c:v>HR</c:v>
                </c:pt>
                <c:pt idx="5">
                  <c:v>Finance</c:v>
                </c:pt>
              </c:strCache>
            </c:strRef>
          </c:cat>
          <c:val>
            <c:numRef>
              <c:f>Dashboard!$C$25:$C$30</c:f>
              <c:numCache>
                <c:formatCode>\$#,##0</c:formatCode>
                <c:ptCount val="6"/>
                <c:pt idx="0">
                  <c:v>131249.18</c:v>
                </c:pt>
                <c:pt idx="1">
                  <c:v>81528.6</c:v>
                </c:pt>
                <c:pt idx="2">
                  <c:v>76443.04</c:v>
                </c:pt>
                <c:pt idx="3">
                  <c:v>108944.32</c:v>
                </c:pt>
                <c:pt idx="4">
                  <c:v>132945.81</c:v>
                </c:pt>
                <c:pt idx="5">
                  <c:v>94829.9</c:v>
                </c:pt>
              </c:numCache>
            </c:numRef>
          </c:val>
        </c:ser>
        <c:gapWidth val="150"/>
        <c:overlap val="0"/>
        <c:axId val="49120557"/>
        <c:axId val="35351224"/>
      </c:barChart>
      <c:catAx>
        <c:axId val="491205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51224"/>
        <c:crosses val="autoZero"/>
        <c:auto val="1"/>
        <c:lblAlgn val="ctr"/>
        <c:lblOffset val="100"/>
        <c:noMultiLvlLbl val="0"/>
      </c:catAx>
      <c:valAx>
        <c:axId val="35351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205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 Status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Dashboard!F24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Dashboard!$E$25:$E$27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Dashboard!$F$25:$F$27</c:f>
              <c:numCache>
                <c:formatCode>#,##0</c:formatCode>
                <c:ptCount val="3"/>
                <c:pt idx="0">
                  <c:v>175</c:v>
                </c:pt>
                <c:pt idx="1">
                  <c:v>52</c:v>
                </c:pt>
                <c:pt idx="2">
                  <c:v>23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6</xdr:col>
      <xdr:colOff>754920</xdr:colOff>
      <xdr:row>41</xdr:row>
      <xdr:rowOff>21960</xdr:rowOff>
    </xdr:to>
    <xdr:graphicFrame>
      <xdr:nvGraphicFramePr>
        <xdr:cNvPr id="0" name="Chart 1"/>
        <xdr:cNvGraphicFramePr/>
      </xdr:nvGraphicFramePr>
      <xdr:xfrm>
        <a:off x="0" y="52484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14</xdr:col>
      <xdr:colOff>402480</xdr:colOff>
      <xdr:row>41</xdr:row>
      <xdr:rowOff>21960</xdr:rowOff>
    </xdr:to>
    <xdr:graphicFrame>
      <xdr:nvGraphicFramePr>
        <xdr:cNvPr id="1" name="Chart 2"/>
        <xdr:cNvGraphicFramePr/>
      </xdr:nvGraphicFramePr>
      <xdr:xfrm>
        <a:off x="5920920" y="52484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6</xdr:col>
      <xdr:colOff>754920</xdr:colOff>
      <xdr:row>58</xdr:row>
      <xdr:rowOff>21600</xdr:rowOff>
    </xdr:to>
    <xdr:graphicFrame>
      <xdr:nvGraphicFramePr>
        <xdr:cNvPr id="2" name="Chart 3"/>
        <xdr:cNvGraphicFramePr/>
      </xdr:nvGraphicFramePr>
      <xdr:xfrm>
        <a:off x="0" y="84866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43</xdr:row>
      <xdr:rowOff>0</xdr:rowOff>
    </xdr:from>
    <xdr:to>
      <xdr:col>14</xdr:col>
      <xdr:colOff>402480</xdr:colOff>
      <xdr:row>58</xdr:row>
      <xdr:rowOff>21600</xdr:rowOff>
    </xdr:to>
    <xdr:graphicFrame>
      <xdr:nvGraphicFramePr>
        <xdr:cNvPr id="3" name="Chart 4"/>
        <xdr:cNvGraphicFramePr/>
      </xdr:nvGraphicFramePr>
      <xdr:xfrm>
        <a:off x="5920920" y="84866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60</xdr:row>
      <xdr:rowOff>0</xdr:rowOff>
    </xdr:from>
    <xdr:to>
      <xdr:col>6</xdr:col>
      <xdr:colOff>754920</xdr:colOff>
      <xdr:row>75</xdr:row>
      <xdr:rowOff>21600</xdr:rowOff>
    </xdr:to>
    <xdr:graphicFrame>
      <xdr:nvGraphicFramePr>
        <xdr:cNvPr id="4" name="Chart 5"/>
        <xdr:cNvGraphicFramePr/>
      </xdr:nvGraphicFramePr>
      <xdr:xfrm>
        <a:off x="0" y="1172520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K251" headerRowCount="1" totalsRowCount="0" totalsRowShown="0">
  <autoFilter ref="A1:K251"/>
  <tableColumns count="11">
    <tableColumn id="1" name="Transaction ID"/>
    <tableColumn id="2" name="Date"/>
    <tableColumn id="3" name="Month"/>
    <tableColumn id="4" name="Region"/>
    <tableColumn id="5" name="Department"/>
    <tableColumn id="6" name="Category"/>
    <tableColumn id="7" name="Budgeted Amount"/>
    <tableColumn id="8" name="Actual Amount"/>
    <tableColumn id="9" name="Variance"/>
    <tableColumn id="10" name="Status"/>
    <tableColumn id="11" name="Employee 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N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3"/>
    <col collapsed="false" customWidth="true" hidden="false" outlineLevel="0" max="4" min="4" style="1" width="4"/>
    <col collapsed="false" customWidth="true" hidden="false" outlineLevel="0" max="5" min="5" style="1" width="14"/>
    <col collapsed="false" customWidth="true" hidden="false" outlineLevel="0" max="7" min="6" style="1" width="13"/>
    <col collapsed="false" customWidth="true" hidden="false" outlineLevel="0" max="8" min="8" style="1" width="4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4"/>
    <col collapsed="false" customWidth="true" hidden="false" outlineLevel="0" max="14" min="12" style="1" width="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1.75" hidden="false" customHeight="true" outlineLevel="0" collapsed="false">
      <c r="A4" s="4" t="s">
        <v>2</v>
      </c>
      <c r="B4" s="5" t="s">
        <v>3</v>
      </c>
      <c r="D4" s="4" t="s">
        <v>4</v>
      </c>
      <c r="E4" s="5" t="s">
        <v>3</v>
      </c>
      <c r="G4" s="4" t="s">
        <v>5</v>
      </c>
      <c r="H4" s="5" t="s">
        <v>3</v>
      </c>
      <c r="J4" s="4" t="s">
        <v>6</v>
      </c>
      <c r="K4" s="6" t="n">
        <f aca="false">SUMPRODUCT((('Raw Data'!$D$2:$D$251=IF($B$4="All",'Raw Data'!$D$2:$D$251,$B$4)))*(('Raw Data'!$E$2:$E$251=IF($E$4="All",'Raw Data'!$E$2:$E$251,$E$4)))*(('Raw Data'!$J$2:$J$251=IF($H$4="All",'Raw Data'!$J$2:$J$251,$H$4)))*('Raw Data'!$H$2:$H$251))</f>
        <v>625940.85</v>
      </c>
      <c r="L4" s="6"/>
      <c r="M4" s="4" t="s">
        <v>7</v>
      </c>
      <c r="N4" s="7" t="n">
        <f aca="false">SUMPRODUCT((('Raw Data'!$D$2:$D$251=IF($B$4="All",'Raw Data'!$D$2:$D$251,$B$4)))*(('Raw Data'!$E$2:$E$251=IF($E$4="All",'Raw Data'!$E$2:$E$251,$E$4)))*(('Raw Data'!$J$2:$J$251=IF($H$4="All",'Raw Data'!$J$2:$J$251,$H$4))))</f>
        <v>250</v>
      </c>
    </row>
    <row r="5" customFormat="false" ht="18" hidden="false" customHeight="true" outlineLevel="0" collapsed="false">
      <c r="A5" s="8" t="s">
        <v>8</v>
      </c>
      <c r="B5" s="8"/>
      <c r="C5" s="8" t="s">
        <v>9</v>
      </c>
      <c r="D5" s="8"/>
      <c r="E5" s="8" t="s">
        <v>10</v>
      </c>
      <c r="F5" s="8"/>
      <c r="G5" s="8" t="s">
        <v>11</v>
      </c>
      <c r="H5" s="8"/>
      <c r="I5" s="8" t="s">
        <v>12</v>
      </c>
      <c r="J5" s="8"/>
      <c r="K5" s="8" t="s">
        <v>13</v>
      </c>
      <c r="L5" s="8"/>
    </row>
    <row r="6" customFormat="false" ht="27.75" hidden="false" customHeight="true" outlineLevel="0" collapsed="false">
      <c r="A6" s="9" t="n">
        <f aca="false">SUM('Raw Data'!G2:G251)</f>
        <v>612904.19</v>
      </c>
      <c r="B6" s="9"/>
      <c r="C6" s="9" t="n">
        <f aca="false">SUM('Raw Data'!H2:H251)</f>
        <v>625940.85</v>
      </c>
      <c r="D6" s="9"/>
      <c r="E6" s="10" t="n">
        <f aca="false">(SUM('Raw Data'!H2:H251)-SUM('Raw Data'!G2:G251))/SUM('Raw Data'!G2:G251)</f>
        <v>0.0212703065384494</v>
      </c>
      <c r="F6" s="10"/>
      <c r="G6" s="9" t="n">
        <f aca="false">AVERAGE('Raw Data'!H2:H251)</f>
        <v>2503.7634</v>
      </c>
      <c r="H6" s="9"/>
      <c r="I6" s="10" t="n">
        <f aca="false">COUNTIF('Raw Data'!J2:J251,"Approved")/COUNTA('Raw Data'!J2:J251)</f>
        <v>0.7</v>
      </c>
      <c r="J6" s="10"/>
      <c r="K6" s="11" t="n">
        <f aca="false">COUNTA('Raw Data'!A2:A251)</f>
        <v>250</v>
      </c>
      <c r="L6" s="11"/>
    </row>
    <row r="9" customFormat="false" ht="15.75" hidden="false" customHeight="true" outlineLevel="0" collapsed="false">
      <c r="A9" s="12" t="s">
        <v>14</v>
      </c>
      <c r="B9" s="13"/>
    </row>
    <row r="10" customFormat="false" ht="15" hidden="false" customHeight="true" outlineLevel="0" collapsed="false">
      <c r="A10" s="14" t="s">
        <v>15</v>
      </c>
      <c r="B10" s="14" t="s">
        <v>16</v>
      </c>
      <c r="C10" s="14" t="s">
        <v>17</v>
      </c>
      <c r="E10" s="14" t="s">
        <v>18</v>
      </c>
      <c r="F10" s="14" t="s">
        <v>16</v>
      </c>
      <c r="G10" s="14" t="s">
        <v>17</v>
      </c>
      <c r="I10" s="14" t="s">
        <v>19</v>
      </c>
      <c r="J10" s="14" t="s">
        <v>17</v>
      </c>
    </row>
    <row r="11" customFormat="false" ht="15" hidden="false" customHeight="true" outlineLevel="0" collapsed="false">
      <c r="A11" s="15" t="str">
        <f aca="false">Calculations!A20</f>
        <v>North America</v>
      </c>
      <c r="B11" s="16" t="n">
        <f aca="false">Calculations!B20</f>
        <v>184317.11</v>
      </c>
      <c r="C11" s="16" t="n">
        <f aca="false">Calculations!C20</f>
        <v>191481.44</v>
      </c>
      <c r="E11" s="15" t="str">
        <f aca="false">Calculations!A36</f>
        <v>Jan</v>
      </c>
      <c r="F11" s="16" t="n">
        <f aca="false">Calculations!B36</f>
        <v>52019.5</v>
      </c>
      <c r="G11" s="16" t="n">
        <f aca="false">Calculations!C36</f>
        <v>53344.24</v>
      </c>
      <c r="I11" s="15" t="str">
        <f aca="false">Calculations!A51</f>
        <v>Salaries</v>
      </c>
      <c r="J11" s="16" t="n">
        <f aca="false">Calculations!C51</f>
        <v>294760.15</v>
      </c>
    </row>
    <row r="12" customFormat="false" ht="15" hidden="false" customHeight="true" outlineLevel="0" collapsed="false">
      <c r="A12" s="15" t="str">
        <f aca="false">Calculations!A21</f>
        <v>Europe</v>
      </c>
      <c r="B12" s="16" t="n">
        <f aca="false">Calculations!B21</f>
        <v>121130.08</v>
      </c>
      <c r="C12" s="16" t="n">
        <f aca="false">Calculations!C21</f>
        <v>125348.36</v>
      </c>
      <c r="E12" s="15" t="str">
        <f aca="false">Calculations!A37</f>
        <v>Feb</v>
      </c>
      <c r="F12" s="16" t="n">
        <f aca="false">Calculations!B37</f>
        <v>51164.76</v>
      </c>
      <c r="G12" s="16" t="n">
        <f aca="false">Calculations!C37</f>
        <v>50163.01</v>
      </c>
      <c r="I12" s="15" t="str">
        <f aca="false">Calculations!A52</f>
        <v>Software</v>
      </c>
      <c r="J12" s="16" t="n">
        <f aca="false">Calculations!C52</f>
        <v>34275.54</v>
      </c>
    </row>
    <row r="13" customFormat="false" ht="15" hidden="false" customHeight="true" outlineLevel="0" collapsed="false">
      <c r="A13" s="15" t="str">
        <f aca="false">Calculations!A22</f>
        <v>Asia Pacific</v>
      </c>
      <c r="B13" s="16" t="n">
        <f aca="false">Calculations!B22</f>
        <v>172142.56</v>
      </c>
      <c r="C13" s="16" t="n">
        <f aca="false">Calculations!C22</f>
        <v>172470.26</v>
      </c>
      <c r="E13" s="15" t="str">
        <f aca="false">Calculations!A38</f>
        <v>Mar</v>
      </c>
      <c r="F13" s="16" t="n">
        <f aca="false">Calculations!B38</f>
        <v>47008.12</v>
      </c>
      <c r="G13" s="16" t="n">
        <f aca="false">Calculations!C38</f>
        <v>48325.09</v>
      </c>
      <c r="I13" s="15" t="str">
        <f aca="false">Calculations!A53</f>
        <v>Travel</v>
      </c>
      <c r="J13" s="16" t="n">
        <f aca="false">Calculations!C53</f>
        <v>32826.98</v>
      </c>
    </row>
    <row r="14" customFormat="false" ht="15" hidden="false" customHeight="true" outlineLevel="0" collapsed="false">
      <c r="A14" s="15" t="str">
        <f aca="false">Calculations!A23</f>
        <v>Latin America</v>
      </c>
      <c r="B14" s="16" t="n">
        <f aca="false">Calculations!B23</f>
        <v>135314.44</v>
      </c>
      <c r="C14" s="16" t="n">
        <f aca="false">Calculations!C23</f>
        <v>136640.79</v>
      </c>
      <c r="E14" s="15" t="str">
        <f aca="false">Calculations!A39</f>
        <v>Apr</v>
      </c>
      <c r="F14" s="16" t="n">
        <f aca="false">Calculations!B39</f>
        <v>52502.46</v>
      </c>
      <c r="G14" s="16" t="n">
        <f aca="false">Calculations!C39</f>
        <v>58772.79</v>
      </c>
      <c r="I14" s="15" t="str">
        <f aca="false">Calculations!A54</f>
        <v>Office Supplies</v>
      </c>
      <c r="J14" s="16" t="n">
        <f aca="false">Calculations!C54</f>
        <v>11324.12</v>
      </c>
    </row>
    <row r="15" customFormat="false" ht="15" hidden="false" customHeight="true" outlineLevel="0" collapsed="false">
      <c r="E15" s="15" t="str">
        <f aca="false">Calculations!A40</f>
        <v>May</v>
      </c>
      <c r="F15" s="16" t="n">
        <f aca="false">Calculations!B40</f>
        <v>27105.71</v>
      </c>
      <c r="G15" s="16" t="n">
        <f aca="false">Calculations!C40</f>
        <v>29109.94</v>
      </c>
      <c r="I15" s="15" t="str">
        <f aca="false">Calculations!A55</f>
        <v>Advertising</v>
      </c>
      <c r="J15" s="16" t="n">
        <f aca="false">Calculations!C55</f>
        <v>92787.32</v>
      </c>
    </row>
    <row r="16" customFormat="false" ht="15" hidden="false" customHeight="true" outlineLevel="0" collapsed="false">
      <c r="E16" s="15" t="str">
        <f aca="false">Calculations!A41</f>
        <v>Jun</v>
      </c>
      <c r="F16" s="16" t="n">
        <f aca="false">Calculations!B41</f>
        <v>42943.98</v>
      </c>
      <c r="G16" s="16" t="n">
        <f aca="false">Calculations!C41</f>
        <v>42340.5</v>
      </c>
      <c r="I16" s="15" t="str">
        <f aca="false">Calculations!A56</f>
        <v>Utilities</v>
      </c>
      <c r="J16" s="16" t="n">
        <f aca="false">Calculations!C56</f>
        <v>20839.79</v>
      </c>
    </row>
    <row r="17" customFormat="false" ht="15" hidden="false" customHeight="true" outlineLevel="0" collapsed="false">
      <c r="E17" s="15" t="str">
        <f aca="false">Calculations!A42</f>
        <v>Jul</v>
      </c>
      <c r="F17" s="16" t="n">
        <f aca="false">Calculations!B42</f>
        <v>41685.16</v>
      </c>
      <c r="G17" s="16" t="n">
        <f aca="false">Calculations!C42</f>
        <v>41118.07</v>
      </c>
      <c r="I17" s="15" t="str">
        <f aca="false">Calculations!A57</f>
        <v>Consulting</v>
      </c>
      <c r="J17" s="16" t="n">
        <f aca="false">Calculations!C57</f>
        <v>110865.67</v>
      </c>
    </row>
    <row r="18" customFormat="false" ht="15" hidden="false" customHeight="true" outlineLevel="0" collapsed="false">
      <c r="E18" s="15" t="str">
        <f aca="false">Calculations!A43</f>
        <v>Aug</v>
      </c>
      <c r="F18" s="16" t="n">
        <f aca="false">Calculations!B43</f>
        <v>90401.78</v>
      </c>
      <c r="G18" s="16" t="n">
        <f aca="false">Calculations!C43</f>
        <v>94734.38</v>
      </c>
      <c r="I18" s="15" t="str">
        <f aca="false">Calculations!A58</f>
        <v>Training</v>
      </c>
      <c r="J18" s="16" t="n">
        <f aca="false">Calculations!C58</f>
        <v>28261.28</v>
      </c>
    </row>
    <row r="19" customFormat="false" ht="15" hidden="false" customHeight="true" outlineLevel="0" collapsed="false">
      <c r="E19" s="15" t="str">
        <f aca="false">Calculations!A44</f>
        <v>Sep</v>
      </c>
      <c r="F19" s="16" t="n">
        <f aca="false">Calculations!B44</f>
        <v>34057.21</v>
      </c>
      <c r="G19" s="16" t="n">
        <f aca="false">Calculations!C44</f>
        <v>31909.58</v>
      </c>
    </row>
    <row r="20" customFormat="false" ht="15" hidden="false" customHeight="true" outlineLevel="0" collapsed="false">
      <c r="E20" s="15" t="str">
        <f aca="false">Calculations!A45</f>
        <v>Oct</v>
      </c>
      <c r="F20" s="16" t="n">
        <f aca="false">Calculations!B45</f>
        <v>49872.18</v>
      </c>
      <c r="G20" s="16" t="n">
        <f aca="false">Calculations!C45</f>
        <v>52438.26</v>
      </c>
    </row>
    <row r="21" customFormat="false" ht="15" hidden="false" customHeight="true" outlineLevel="0" collapsed="false">
      <c r="E21" s="15" t="str">
        <f aca="false">Calculations!A46</f>
        <v>Nov</v>
      </c>
      <c r="F21" s="16" t="n">
        <f aca="false">Calculations!B46</f>
        <v>46134.32</v>
      </c>
      <c r="G21" s="16" t="n">
        <f aca="false">Calculations!C46</f>
        <v>42898.58</v>
      </c>
    </row>
    <row r="22" customFormat="false" ht="15" hidden="false" customHeight="true" outlineLevel="0" collapsed="false">
      <c r="E22" s="15" t="str">
        <f aca="false">Calculations!A47</f>
        <v>Dec</v>
      </c>
      <c r="F22" s="16" t="n">
        <f aca="false">Calculations!B47</f>
        <v>78009.01</v>
      </c>
      <c r="G22" s="16" t="n">
        <f aca="false">Calculations!C47</f>
        <v>80786.41</v>
      </c>
    </row>
    <row r="24" customFormat="false" ht="15" hidden="false" customHeight="true" outlineLevel="0" collapsed="false">
      <c r="A24" s="14" t="s">
        <v>20</v>
      </c>
      <c r="B24" s="14" t="s">
        <v>16</v>
      </c>
      <c r="C24" s="14" t="s">
        <v>17</v>
      </c>
      <c r="E24" s="14" t="s">
        <v>21</v>
      </c>
      <c r="F24" s="14" t="s">
        <v>22</v>
      </c>
    </row>
    <row r="25" customFormat="false" ht="15" hidden="false" customHeight="true" outlineLevel="0" collapsed="false">
      <c r="A25" s="15" t="str">
        <f aca="false">Calculations!A27</f>
        <v>Sales</v>
      </c>
      <c r="B25" s="16" t="n">
        <f aca="false">Calculations!B27</f>
        <v>124332.03</v>
      </c>
      <c r="C25" s="16" t="n">
        <f aca="false">Calculations!C27</f>
        <v>131249.18</v>
      </c>
      <c r="E25" s="17" t="s">
        <v>23</v>
      </c>
      <c r="F25" s="18" t="n">
        <f aca="false">COUNTIF('Raw Data'!$J$2:$J$251,$E25)</f>
        <v>175</v>
      </c>
    </row>
    <row r="26" customFormat="false" ht="15" hidden="false" customHeight="true" outlineLevel="0" collapsed="false">
      <c r="A26" s="15" t="str">
        <f aca="false">Calculations!A28</f>
        <v>Marketing</v>
      </c>
      <c r="B26" s="16" t="n">
        <f aca="false">Calculations!B28</f>
        <v>75052.35</v>
      </c>
      <c r="C26" s="16" t="n">
        <f aca="false">Calculations!C28</f>
        <v>81528.6</v>
      </c>
      <c r="E26" s="17" t="s">
        <v>24</v>
      </c>
      <c r="F26" s="18" t="n">
        <f aca="false">COUNTIF('Raw Data'!$J$2:$J$251,$E26)</f>
        <v>52</v>
      </c>
    </row>
    <row r="27" customFormat="false" ht="15" hidden="false" customHeight="true" outlineLevel="0" collapsed="false">
      <c r="A27" s="15" t="str">
        <f aca="false">Calculations!A29</f>
        <v>Operations</v>
      </c>
      <c r="B27" s="16" t="n">
        <f aca="false">Calculations!B29</f>
        <v>75092.01</v>
      </c>
      <c r="C27" s="16" t="n">
        <f aca="false">Calculations!C29</f>
        <v>76443.04</v>
      </c>
      <c r="E27" s="17" t="s">
        <v>25</v>
      </c>
      <c r="F27" s="18" t="n">
        <f aca="false">COUNTIF('Raw Data'!$J$2:$J$251,$E27)</f>
        <v>23</v>
      </c>
    </row>
    <row r="28" customFormat="false" ht="15" hidden="false" customHeight="true" outlineLevel="0" collapsed="false">
      <c r="A28" s="15" t="str">
        <f aca="false">Calculations!A30</f>
        <v>IT</v>
      </c>
      <c r="B28" s="16" t="n">
        <f aca="false">Calculations!B30</f>
        <v>109255.17</v>
      </c>
      <c r="C28" s="16" t="n">
        <f aca="false">Calculations!C30</f>
        <v>108944.32</v>
      </c>
    </row>
    <row r="29" customFormat="false" ht="15" hidden="false" customHeight="true" outlineLevel="0" collapsed="false">
      <c r="A29" s="15" t="str">
        <f aca="false">Calculations!A31</f>
        <v>HR</v>
      </c>
      <c r="B29" s="16" t="n">
        <f aca="false">Calculations!B31</f>
        <v>134917.12</v>
      </c>
      <c r="C29" s="16" t="n">
        <f aca="false">Calculations!C31</f>
        <v>132945.81</v>
      </c>
    </row>
    <row r="30" customFormat="false" ht="15" hidden="false" customHeight="true" outlineLevel="0" collapsed="false">
      <c r="A30" s="15" t="str">
        <f aca="false">Calculations!A32</f>
        <v>Finance</v>
      </c>
      <c r="B30" s="16" t="n">
        <f aca="false">Calculations!B32</f>
        <v>94255.51</v>
      </c>
      <c r="C30" s="16" t="n">
        <f aca="false">Calculations!C32</f>
        <v>94829.9</v>
      </c>
    </row>
  </sheetData>
  <mergeCells count="15">
    <mergeCell ref="A1:N2"/>
    <mergeCell ref="A3:N3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dataValidations count="3">
    <dataValidation allowBlank="false" error="Please select a value from the dropdown list." errorStyle="stop" errorTitle="Invalid Entry" operator="between" prompt="Select a Region to filter dashboard KPIs" promptTitle="Region Filter" showDropDown="false" showErrorMessage="false" showInputMessage="false" sqref="B4" type="list">
      <formula1>RegionList</formula1>
      <formula2>0</formula2>
    </dataValidation>
    <dataValidation allowBlank="false" error="Please select a value from the dropdown list." errorStyle="stop" errorTitle="Invalid Entry" operator="between" prompt="Select a Department to filter dashboard KPIs" promptTitle="Department Filter" showDropDown="false" showErrorMessage="false" showInputMessage="false" sqref="E4" type="list">
      <formula1>DeptList</formula1>
      <formula2>0</formula2>
    </dataValidation>
    <dataValidation allowBlank="false" error="Please select a value from the dropdown list." errorStyle="stop" errorTitle="Invalid Entry" operator="between" prompt="Select a Status to filter dashboard KPIs" promptTitle="Status Filter" showDropDown="false" showErrorMessage="false" showInputMessage="false" sqref="H4" type="list">
      <formula1>StatusList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8" min="6" style="1" width="16"/>
    <col collapsed="false" customWidth="true" hidden="false" outlineLevel="0" max="9" min="9" style="1" width="14"/>
    <col collapsed="false" customWidth="true" hidden="false" outlineLevel="0" max="10" min="10" style="1" width="11"/>
    <col collapsed="false" customWidth="true" hidden="false" outlineLevel="0" max="11" min="11" style="1" width="14"/>
  </cols>
  <sheetData>
    <row r="1" customFormat="false" ht="15" hidden="false" customHeight="true" outlineLevel="0" collapsed="false">
      <c r="A1" s="19" t="s">
        <v>26</v>
      </c>
      <c r="B1" s="19" t="s">
        <v>27</v>
      </c>
      <c r="C1" s="19" t="s">
        <v>18</v>
      </c>
      <c r="D1" s="19" t="s">
        <v>15</v>
      </c>
      <c r="E1" s="19" t="s">
        <v>20</v>
      </c>
      <c r="F1" s="19" t="s">
        <v>19</v>
      </c>
      <c r="G1" s="19" t="s">
        <v>28</v>
      </c>
      <c r="H1" s="19" t="s">
        <v>29</v>
      </c>
      <c r="I1" s="19" t="s">
        <v>30</v>
      </c>
      <c r="J1" s="19" t="s">
        <v>21</v>
      </c>
      <c r="K1" s="19" t="s">
        <v>31</v>
      </c>
    </row>
    <row r="2" customFormat="false" ht="15" hidden="false" customHeight="true" outlineLevel="0" collapsed="false">
      <c r="A2" s="20" t="s">
        <v>32</v>
      </c>
      <c r="B2" s="21" t="n">
        <v>45985</v>
      </c>
      <c r="C2" s="17" t="str">
        <f aca="false">TEXT(B2,"mmm")</f>
        <v>Nov</v>
      </c>
      <c r="D2" s="20" t="s">
        <v>33</v>
      </c>
      <c r="E2" s="20" t="s">
        <v>34</v>
      </c>
      <c r="F2" s="20" t="s">
        <v>35</v>
      </c>
      <c r="G2" s="22" t="n">
        <v>2869.13</v>
      </c>
      <c r="H2" s="22" t="n">
        <v>2352.02</v>
      </c>
      <c r="I2" s="23" t="n">
        <f aca="false">H2-G2</f>
        <v>-517.11</v>
      </c>
      <c r="J2" s="20" t="s">
        <v>23</v>
      </c>
      <c r="K2" s="20" t="n">
        <v>35</v>
      </c>
    </row>
    <row r="3" customFormat="false" ht="15" hidden="false" customHeight="true" outlineLevel="0" collapsed="false">
      <c r="A3" s="20" t="s">
        <v>36</v>
      </c>
      <c r="B3" s="21" t="n">
        <v>45702</v>
      </c>
      <c r="C3" s="17" t="str">
        <f aca="false">TEXT(B3,"mmm")</f>
        <v>Feb</v>
      </c>
      <c r="D3" s="20" t="s">
        <v>37</v>
      </c>
      <c r="E3" s="20" t="s">
        <v>34</v>
      </c>
      <c r="F3" s="20" t="s">
        <v>38</v>
      </c>
      <c r="G3" s="22" t="n">
        <v>6773.28</v>
      </c>
      <c r="H3" s="22" t="n">
        <v>5867.9</v>
      </c>
      <c r="I3" s="23" t="n">
        <f aca="false">H3-G3</f>
        <v>-905.38</v>
      </c>
      <c r="J3" s="20" t="s">
        <v>23</v>
      </c>
      <c r="K3" s="20" t="n">
        <v>36</v>
      </c>
    </row>
    <row r="4" customFormat="false" ht="15" hidden="false" customHeight="true" outlineLevel="0" collapsed="false">
      <c r="A4" s="20" t="s">
        <v>39</v>
      </c>
      <c r="B4" s="21" t="n">
        <v>45759</v>
      </c>
      <c r="C4" s="17" t="str">
        <f aca="false">TEXT(B4,"mmm")</f>
        <v>Apr</v>
      </c>
      <c r="D4" s="20" t="s">
        <v>37</v>
      </c>
      <c r="E4" s="20" t="s">
        <v>40</v>
      </c>
      <c r="F4" s="20" t="s">
        <v>41</v>
      </c>
      <c r="G4" s="22" t="n">
        <v>675.75</v>
      </c>
      <c r="H4" s="22" t="n">
        <v>780.3</v>
      </c>
      <c r="I4" s="23" t="n">
        <f aca="false">H4-G4</f>
        <v>104.55</v>
      </c>
      <c r="J4" s="20" t="s">
        <v>23</v>
      </c>
      <c r="K4" s="20" t="n">
        <v>11</v>
      </c>
    </row>
    <row r="5" customFormat="false" ht="15" hidden="false" customHeight="true" outlineLevel="0" collapsed="false">
      <c r="A5" s="20" t="s">
        <v>42</v>
      </c>
      <c r="B5" s="21" t="n">
        <v>46015</v>
      </c>
      <c r="C5" s="17" t="str">
        <f aca="false">TEXT(B5,"mmm")</f>
        <v>Dec</v>
      </c>
      <c r="D5" s="20" t="s">
        <v>37</v>
      </c>
      <c r="E5" s="20" t="s">
        <v>43</v>
      </c>
      <c r="F5" s="20" t="s">
        <v>35</v>
      </c>
      <c r="G5" s="22" t="n">
        <v>2044.66</v>
      </c>
      <c r="H5" s="22" t="n">
        <v>2512.08</v>
      </c>
      <c r="I5" s="23" t="n">
        <f aca="false">H5-G5</f>
        <v>467.42</v>
      </c>
      <c r="J5" s="20" t="s">
        <v>23</v>
      </c>
      <c r="K5" s="20" t="n">
        <v>6</v>
      </c>
    </row>
    <row r="6" customFormat="false" ht="15" hidden="false" customHeight="true" outlineLevel="0" collapsed="false">
      <c r="A6" s="20" t="s">
        <v>44</v>
      </c>
      <c r="B6" s="21" t="n">
        <v>45852</v>
      </c>
      <c r="C6" s="17" t="str">
        <f aca="false">TEXT(B6,"mmm")</f>
        <v>Jul</v>
      </c>
      <c r="D6" s="20" t="s">
        <v>33</v>
      </c>
      <c r="E6" s="20" t="s">
        <v>43</v>
      </c>
      <c r="F6" s="20" t="s">
        <v>45</v>
      </c>
      <c r="G6" s="22" t="n">
        <v>853.26</v>
      </c>
      <c r="H6" s="22" t="n">
        <v>984.29</v>
      </c>
      <c r="I6" s="23" t="n">
        <f aca="false">H6-G6</f>
        <v>131.03</v>
      </c>
      <c r="J6" s="20" t="s">
        <v>24</v>
      </c>
      <c r="K6" s="20" t="n">
        <v>35</v>
      </c>
    </row>
    <row r="7" customFormat="false" ht="15" hidden="false" customHeight="true" outlineLevel="0" collapsed="false">
      <c r="A7" s="20" t="s">
        <v>46</v>
      </c>
      <c r="B7" s="21" t="n">
        <v>45721</v>
      </c>
      <c r="C7" s="17" t="str">
        <f aca="false">TEXT(B7,"mmm")</f>
        <v>Mar</v>
      </c>
      <c r="D7" s="20" t="s">
        <v>37</v>
      </c>
      <c r="E7" s="20" t="s">
        <v>34</v>
      </c>
      <c r="F7" s="20" t="s">
        <v>35</v>
      </c>
      <c r="G7" s="22" t="n">
        <v>2617.49</v>
      </c>
      <c r="H7" s="22" t="n">
        <v>2772.6</v>
      </c>
      <c r="I7" s="23" t="n">
        <f aca="false">H7-G7</f>
        <v>155.11</v>
      </c>
      <c r="J7" s="20" t="s">
        <v>24</v>
      </c>
      <c r="K7" s="20" t="n">
        <v>37</v>
      </c>
    </row>
    <row r="8" customFormat="false" ht="15" hidden="false" customHeight="true" outlineLevel="0" collapsed="false">
      <c r="A8" s="20" t="s">
        <v>47</v>
      </c>
      <c r="B8" s="21" t="n">
        <v>45756</v>
      </c>
      <c r="C8" s="17" t="str">
        <f aca="false">TEXT(B8,"mmm")</f>
        <v>Apr</v>
      </c>
      <c r="D8" s="20" t="s">
        <v>33</v>
      </c>
      <c r="E8" s="20" t="s">
        <v>34</v>
      </c>
      <c r="F8" s="20" t="s">
        <v>48</v>
      </c>
      <c r="G8" s="22" t="n">
        <v>417.18</v>
      </c>
      <c r="H8" s="22" t="n">
        <v>518.39</v>
      </c>
      <c r="I8" s="23" t="n">
        <f aca="false">H8-G8</f>
        <v>101.21</v>
      </c>
      <c r="J8" s="20" t="s">
        <v>24</v>
      </c>
      <c r="K8" s="20" t="n">
        <v>7</v>
      </c>
    </row>
    <row r="9" customFormat="false" ht="15" hidden="false" customHeight="true" outlineLevel="0" collapsed="false">
      <c r="A9" s="20" t="s">
        <v>49</v>
      </c>
      <c r="B9" s="21" t="n">
        <v>45852</v>
      </c>
      <c r="C9" s="17" t="str">
        <f aca="false">TEXT(B9,"mmm")</f>
        <v>Jul</v>
      </c>
      <c r="D9" s="20" t="s">
        <v>50</v>
      </c>
      <c r="E9" s="20" t="s">
        <v>51</v>
      </c>
      <c r="F9" s="20" t="s">
        <v>45</v>
      </c>
      <c r="G9" s="22" t="n">
        <v>595.93</v>
      </c>
      <c r="H9" s="22" t="n">
        <v>552.81</v>
      </c>
      <c r="I9" s="23" t="n">
        <f aca="false">H9-G9</f>
        <v>-43.12</v>
      </c>
      <c r="J9" s="20" t="s">
        <v>23</v>
      </c>
      <c r="K9" s="20" t="n">
        <v>45</v>
      </c>
    </row>
    <row r="10" customFormat="false" ht="15" hidden="false" customHeight="true" outlineLevel="0" collapsed="false">
      <c r="A10" s="20" t="s">
        <v>52</v>
      </c>
      <c r="B10" s="21" t="n">
        <v>46007</v>
      </c>
      <c r="C10" s="17" t="str">
        <f aca="false">TEXT(B10,"mmm")</f>
        <v>Dec</v>
      </c>
      <c r="D10" s="20" t="s">
        <v>33</v>
      </c>
      <c r="E10" s="20" t="s">
        <v>53</v>
      </c>
      <c r="F10" s="20" t="s">
        <v>54</v>
      </c>
      <c r="G10" s="22" t="n">
        <v>1152.63</v>
      </c>
      <c r="H10" s="22" t="n">
        <v>1005.56</v>
      </c>
      <c r="I10" s="23" t="n">
        <f aca="false">H10-G10</f>
        <v>-147.07</v>
      </c>
      <c r="J10" s="20" t="s">
        <v>23</v>
      </c>
      <c r="K10" s="20" t="n">
        <v>18</v>
      </c>
    </row>
    <row r="11" customFormat="false" ht="15" hidden="false" customHeight="true" outlineLevel="0" collapsed="false">
      <c r="A11" s="20" t="s">
        <v>55</v>
      </c>
      <c r="B11" s="21" t="n">
        <v>45985</v>
      </c>
      <c r="C11" s="17" t="str">
        <f aca="false">TEXT(B11,"mmm")</f>
        <v>Nov</v>
      </c>
      <c r="D11" s="20" t="s">
        <v>56</v>
      </c>
      <c r="E11" s="20" t="s">
        <v>57</v>
      </c>
      <c r="F11" s="20" t="s">
        <v>45</v>
      </c>
      <c r="G11" s="22" t="n">
        <v>844.35</v>
      </c>
      <c r="H11" s="22" t="n">
        <v>960.87</v>
      </c>
      <c r="I11" s="23" t="n">
        <f aca="false">H11-G11</f>
        <v>116.52</v>
      </c>
      <c r="J11" s="20" t="s">
        <v>23</v>
      </c>
      <c r="K11" s="20" t="n">
        <v>3</v>
      </c>
    </row>
    <row r="12" customFormat="false" ht="15" hidden="false" customHeight="true" outlineLevel="0" collapsed="false">
      <c r="A12" s="20" t="s">
        <v>58</v>
      </c>
      <c r="B12" s="21" t="n">
        <v>45819</v>
      </c>
      <c r="C12" s="17" t="str">
        <f aca="false">TEXT(B12,"mmm")</f>
        <v>Jun</v>
      </c>
      <c r="D12" s="20" t="s">
        <v>37</v>
      </c>
      <c r="E12" s="20" t="s">
        <v>43</v>
      </c>
      <c r="F12" s="20" t="s">
        <v>59</v>
      </c>
      <c r="G12" s="22" t="n">
        <v>1004.08</v>
      </c>
      <c r="H12" s="22" t="n">
        <v>1226.44</v>
      </c>
      <c r="I12" s="23" t="n">
        <f aca="false">H12-G12</f>
        <v>222.36</v>
      </c>
      <c r="J12" s="20" t="s">
        <v>24</v>
      </c>
      <c r="K12" s="20" t="n">
        <v>21</v>
      </c>
    </row>
    <row r="13" customFormat="false" ht="15" hidden="false" customHeight="true" outlineLevel="0" collapsed="false">
      <c r="A13" s="20" t="s">
        <v>60</v>
      </c>
      <c r="B13" s="21" t="n">
        <v>45766</v>
      </c>
      <c r="C13" s="17" t="str">
        <f aca="false">TEXT(B13,"mmm")</f>
        <v>Apr</v>
      </c>
      <c r="D13" s="20" t="s">
        <v>37</v>
      </c>
      <c r="E13" s="20" t="s">
        <v>51</v>
      </c>
      <c r="F13" s="20" t="s">
        <v>41</v>
      </c>
      <c r="G13" s="22" t="n">
        <v>569.5</v>
      </c>
      <c r="H13" s="22" t="n">
        <v>466.88</v>
      </c>
      <c r="I13" s="23" t="n">
        <f aca="false">H13-G13</f>
        <v>-102.62</v>
      </c>
      <c r="J13" s="20" t="s">
        <v>24</v>
      </c>
      <c r="K13" s="20" t="n">
        <v>35</v>
      </c>
    </row>
    <row r="14" customFormat="false" ht="15" hidden="false" customHeight="true" outlineLevel="0" collapsed="false">
      <c r="A14" s="20" t="s">
        <v>61</v>
      </c>
      <c r="B14" s="21" t="n">
        <v>45792</v>
      </c>
      <c r="C14" s="17" t="str">
        <f aca="false">TEXT(B14,"mmm")</f>
        <v>May</v>
      </c>
      <c r="D14" s="20" t="s">
        <v>37</v>
      </c>
      <c r="E14" s="20" t="s">
        <v>53</v>
      </c>
      <c r="F14" s="20" t="s">
        <v>62</v>
      </c>
      <c r="G14" s="22" t="n">
        <v>2841.85</v>
      </c>
      <c r="H14" s="22" t="n">
        <v>3548.51</v>
      </c>
      <c r="I14" s="23" t="n">
        <f aca="false">H14-G14</f>
        <v>706.66</v>
      </c>
      <c r="J14" s="20" t="s">
        <v>23</v>
      </c>
      <c r="K14" s="20" t="n">
        <v>32</v>
      </c>
    </row>
    <row r="15" customFormat="false" ht="15" hidden="false" customHeight="true" outlineLevel="0" collapsed="false">
      <c r="A15" s="20" t="s">
        <v>63</v>
      </c>
      <c r="B15" s="21" t="n">
        <v>45704</v>
      </c>
      <c r="C15" s="17" t="str">
        <f aca="false">TEXT(B15,"mmm")</f>
        <v>Feb</v>
      </c>
      <c r="D15" s="20" t="s">
        <v>33</v>
      </c>
      <c r="E15" s="20" t="s">
        <v>34</v>
      </c>
      <c r="F15" s="20" t="s">
        <v>54</v>
      </c>
      <c r="G15" s="22" t="n">
        <v>1191.26</v>
      </c>
      <c r="H15" s="22" t="n">
        <v>1365.23</v>
      </c>
      <c r="I15" s="23" t="n">
        <f aca="false">H15-G15</f>
        <v>173.97</v>
      </c>
      <c r="J15" s="20" t="s">
        <v>23</v>
      </c>
      <c r="K15" s="20" t="n">
        <v>5</v>
      </c>
    </row>
    <row r="16" customFormat="false" ht="15" hidden="false" customHeight="true" outlineLevel="0" collapsed="false">
      <c r="A16" s="20" t="s">
        <v>64</v>
      </c>
      <c r="B16" s="21" t="n">
        <v>45855</v>
      </c>
      <c r="C16" s="17" t="str">
        <f aca="false">TEXT(B16,"mmm")</f>
        <v>Jul</v>
      </c>
      <c r="D16" s="20" t="s">
        <v>37</v>
      </c>
      <c r="E16" s="20" t="s">
        <v>53</v>
      </c>
      <c r="F16" s="20" t="s">
        <v>41</v>
      </c>
      <c r="G16" s="22" t="n">
        <v>661.43</v>
      </c>
      <c r="H16" s="22" t="n">
        <v>817.22</v>
      </c>
      <c r="I16" s="23" t="n">
        <f aca="false">H16-G16</f>
        <v>155.79</v>
      </c>
      <c r="J16" s="20" t="s">
        <v>24</v>
      </c>
      <c r="K16" s="20" t="n">
        <v>1</v>
      </c>
    </row>
    <row r="17" customFormat="false" ht="15" hidden="false" customHeight="true" outlineLevel="0" collapsed="false">
      <c r="A17" s="20" t="s">
        <v>65</v>
      </c>
      <c r="B17" s="21" t="n">
        <v>46006</v>
      </c>
      <c r="C17" s="17" t="str">
        <f aca="false">TEXT(B17,"mmm")</f>
        <v>Dec</v>
      </c>
      <c r="D17" s="20" t="s">
        <v>33</v>
      </c>
      <c r="E17" s="20" t="s">
        <v>57</v>
      </c>
      <c r="F17" s="20" t="s">
        <v>35</v>
      </c>
      <c r="G17" s="22" t="n">
        <v>3471.39</v>
      </c>
      <c r="H17" s="22" t="n">
        <v>3193.98</v>
      </c>
      <c r="I17" s="23" t="n">
        <f aca="false">H17-G17</f>
        <v>-277.41</v>
      </c>
      <c r="J17" s="20" t="s">
        <v>23</v>
      </c>
      <c r="K17" s="20" t="n">
        <v>11</v>
      </c>
    </row>
    <row r="18" customFormat="false" ht="15" hidden="false" customHeight="true" outlineLevel="0" collapsed="false">
      <c r="A18" s="20" t="s">
        <v>66</v>
      </c>
      <c r="B18" s="21" t="n">
        <v>45890</v>
      </c>
      <c r="C18" s="17" t="str">
        <f aca="false">TEXT(B18,"mmm")</f>
        <v>Aug</v>
      </c>
      <c r="D18" s="20" t="s">
        <v>33</v>
      </c>
      <c r="E18" s="20" t="s">
        <v>57</v>
      </c>
      <c r="F18" s="20" t="s">
        <v>35</v>
      </c>
      <c r="G18" s="22" t="n">
        <v>3705.17</v>
      </c>
      <c r="H18" s="22" t="n">
        <v>4190.48</v>
      </c>
      <c r="I18" s="23" t="n">
        <f aca="false">H18-G18</f>
        <v>485.31</v>
      </c>
      <c r="J18" s="20" t="s">
        <v>23</v>
      </c>
      <c r="K18" s="20" t="n">
        <v>7</v>
      </c>
    </row>
    <row r="19" customFormat="false" ht="15" hidden="false" customHeight="true" outlineLevel="0" collapsed="false">
      <c r="A19" s="20" t="s">
        <v>67</v>
      </c>
      <c r="B19" s="21" t="n">
        <v>45978</v>
      </c>
      <c r="C19" s="17" t="str">
        <f aca="false">TEXT(B19,"mmm")</f>
        <v>Nov</v>
      </c>
      <c r="D19" s="20" t="s">
        <v>50</v>
      </c>
      <c r="E19" s="20" t="s">
        <v>57</v>
      </c>
      <c r="F19" s="20" t="s">
        <v>48</v>
      </c>
      <c r="G19" s="22" t="n">
        <v>273.92</v>
      </c>
      <c r="H19" s="22" t="n">
        <v>309.87</v>
      </c>
      <c r="I19" s="23" t="n">
        <f aca="false">H19-G19</f>
        <v>35.95</v>
      </c>
      <c r="J19" s="20" t="s">
        <v>23</v>
      </c>
      <c r="K19" s="20" t="n">
        <v>34</v>
      </c>
    </row>
    <row r="20" customFormat="false" ht="15" hidden="false" customHeight="true" outlineLevel="0" collapsed="false">
      <c r="A20" s="20" t="s">
        <v>68</v>
      </c>
      <c r="B20" s="21" t="n">
        <v>45658</v>
      </c>
      <c r="C20" s="17" t="str">
        <f aca="false">TEXT(B20,"mmm")</f>
        <v>Jan</v>
      </c>
      <c r="D20" s="20" t="s">
        <v>50</v>
      </c>
      <c r="E20" s="20" t="s">
        <v>51</v>
      </c>
      <c r="F20" s="20" t="s">
        <v>38</v>
      </c>
      <c r="G20" s="22" t="n">
        <v>7628.83</v>
      </c>
      <c r="H20" s="22" t="n">
        <v>7106.18</v>
      </c>
      <c r="I20" s="23" t="n">
        <f aca="false">H20-G20</f>
        <v>-522.65</v>
      </c>
      <c r="J20" s="20" t="s">
        <v>25</v>
      </c>
      <c r="K20" s="20" t="n">
        <v>20</v>
      </c>
    </row>
    <row r="21" customFormat="false" ht="15" hidden="false" customHeight="true" outlineLevel="0" collapsed="false">
      <c r="A21" s="20" t="s">
        <v>69</v>
      </c>
      <c r="B21" s="21" t="n">
        <v>45780</v>
      </c>
      <c r="C21" s="17" t="str">
        <f aca="false">TEXT(B21,"mmm")</f>
        <v>May</v>
      </c>
      <c r="D21" s="20" t="s">
        <v>33</v>
      </c>
      <c r="E21" s="20" t="s">
        <v>40</v>
      </c>
      <c r="F21" s="20" t="s">
        <v>59</v>
      </c>
      <c r="G21" s="22" t="n">
        <v>1289.28</v>
      </c>
      <c r="H21" s="22" t="n">
        <v>1280.25</v>
      </c>
      <c r="I21" s="23" t="n">
        <f aca="false">H21-G21</f>
        <v>-9.02999999999997</v>
      </c>
      <c r="J21" s="20" t="s">
        <v>23</v>
      </c>
      <c r="K21" s="20" t="n">
        <v>35</v>
      </c>
    </row>
    <row r="22" customFormat="false" ht="15" hidden="false" customHeight="true" outlineLevel="0" collapsed="false">
      <c r="A22" s="20" t="s">
        <v>70</v>
      </c>
      <c r="B22" s="21" t="n">
        <v>45722</v>
      </c>
      <c r="C22" s="17" t="str">
        <f aca="false">TEXT(B22,"mmm")</f>
        <v>Mar</v>
      </c>
      <c r="D22" s="20" t="s">
        <v>56</v>
      </c>
      <c r="E22" s="20" t="s">
        <v>57</v>
      </c>
      <c r="F22" s="20" t="s">
        <v>41</v>
      </c>
      <c r="G22" s="22" t="n">
        <v>939.87</v>
      </c>
      <c r="H22" s="22" t="n">
        <v>782.5</v>
      </c>
      <c r="I22" s="23" t="n">
        <f aca="false">H22-G22</f>
        <v>-157.37</v>
      </c>
      <c r="J22" s="20" t="s">
        <v>23</v>
      </c>
      <c r="K22" s="20" t="n">
        <v>39</v>
      </c>
    </row>
    <row r="23" customFormat="false" ht="15" hidden="false" customHeight="true" outlineLevel="0" collapsed="false">
      <c r="A23" s="20" t="s">
        <v>71</v>
      </c>
      <c r="B23" s="21" t="n">
        <v>45874</v>
      </c>
      <c r="C23" s="17" t="str">
        <f aca="false">TEXT(B23,"mmm")</f>
        <v>Aug</v>
      </c>
      <c r="D23" s="20" t="s">
        <v>56</v>
      </c>
      <c r="E23" s="20" t="s">
        <v>53</v>
      </c>
      <c r="F23" s="20" t="s">
        <v>48</v>
      </c>
      <c r="G23" s="22" t="n">
        <v>373.33</v>
      </c>
      <c r="H23" s="22" t="n">
        <v>354.48</v>
      </c>
      <c r="I23" s="23" t="n">
        <f aca="false">H23-G23</f>
        <v>-18.85</v>
      </c>
      <c r="J23" s="20" t="s">
        <v>23</v>
      </c>
      <c r="K23" s="20" t="n">
        <v>24</v>
      </c>
    </row>
    <row r="24" customFormat="false" ht="15" hidden="false" customHeight="true" outlineLevel="0" collapsed="false">
      <c r="A24" s="20" t="s">
        <v>72</v>
      </c>
      <c r="B24" s="21" t="n">
        <v>45882</v>
      </c>
      <c r="C24" s="17" t="str">
        <f aca="false">TEXT(B24,"mmm")</f>
        <v>Aug</v>
      </c>
      <c r="D24" s="20" t="s">
        <v>37</v>
      </c>
      <c r="E24" s="20" t="s">
        <v>34</v>
      </c>
      <c r="F24" s="20" t="s">
        <v>48</v>
      </c>
      <c r="G24" s="22" t="n">
        <v>252.42</v>
      </c>
      <c r="H24" s="22" t="n">
        <v>231.98</v>
      </c>
      <c r="I24" s="23" t="n">
        <f aca="false">H24-G24</f>
        <v>-20.44</v>
      </c>
      <c r="J24" s="20" t="s">
        <v>23</v>
      </c>
      <c r="K24" s="20" t="n">
        <v>15</v>
      </c>
    </row>
    <row r="25" customFormat="false" ht="15" hidden="false" customHeight="true" outlineLevel="0" collapsed="false">
      <c r="A25" s="20" t="s">
        <v>73</v>
      </c>
      <c r="B25" s="21" t="n">
        <v>45959</v>
      </c>
      <c r="C25" s="17" t="str">
        <f aca="false">TEXT(B25,"mmm")</f>
        <v>Oct</v>
      </c>
      <c r="D25" s="20" t="s">
        <v>56</v>
      </c>
      <c r="E25" s="20" t="s">
        <v>34</v>
      </c>
      <c r="F25" s="20" t="s">
        <v>59</v>
      </c>
      <c r="G25" s="22" t="n">
        <v>1490.75</v>
      </c>
      <c r="H25" s="22" t="n">
        <v>1161.95</v>
      </c>
      <c r="I25" s="23" t="n">
        <f aca="false">H25-G25</f>
        <v>-328.8</v>
      </c>
      <c r="J25" s="20" t="s">
        <v>23</v>
      </c>
      <c r="K25" s="20" t="n">
        <v>3</v>
      </c>
    </row>
    <row r="26" customFormat="false" ht="15" hidden="false" customHeight="true" outlineLevel="0" collapsed="false">
      <c r="A26" s="20" t="s">
        <v>74</v>
      </c>
      <c r="B26" s="21" t="n">
        <v>45827</v>
      </c>
      <c r="C26" s="17" t="str">
        <f aca="false">TEXT(B26,"mmm")</f>
        <v>Jun</v>
      </c>
      <c r="D26" s="20" t="s">
        <v>33</v>
      </c>
      <c r="E26" s="20" t="s">
        <v>53</v>
      </c>
      <c r="F26" s="20" t="s">
        <v>48</v>
      </c>
      <c r="G26" s="22" t="n">
        <v>348.93</v>
      </c>
      <c r="H26" s="22" t="n">
        <v>346.39</v>
      </c>
      <c r="I26" s="23" t="n">
        <f aca="false">H26-G26</f>
        <v>-2.54000000000002</v>
      </c>
      <c r="J26" s="20" t="s">
        <v>23</v>
      </c>
      <c r="K26" s="20" t="n">
        <v>37</v>
      </c>
    </row>
    <row r="27" customFormat="false" ht="15" hidden="false" customHeight="true" outlineLevel="0" collapsed="false">
      <c r="A27" s="20" t="s">
        <v>75</v>
      </c>
      <c r="B27" s="21" t="n">
        <v>45953</v>
      </c>
      <c r="C27" s="17" t="str">
        <f aca="false">TEXT(B27,"mmm")</f>
        <v>Oct</v>
      </c>
      <c r="D27" s="20" t="s">
        <v>37</v>
      </c>
      <c r="E27" s="20" t="s">
        <v>40</v>
      </c>
      <c r="F27" s="20" t="s">
        <v>41</v>
      </c>
      <c r="G27" s="22" t="n">
        <v>727.68</v>
      </c>
      <c r="H27" s="22" t="n">
        <v>615.04</v>
      </c>
      <c r="I27" s="23" t="n">
        <f aca="false">H27-G27</f>
        <v>-112.64</v>
      </c>
      <c r="J27" s="20" t="s">
        <v>23</v>
      </c>
      <c r="K27" s="20" t="n">
        <v>28</v>
      </c>
    </row>
    <row r="28" customFormat="false" ht="15" hidden="false" customHeight="true" outlineLevel="0" collapsed="false">
      <c r="A28" s="20" t="s">
        <v>76</v>
      </c>
      <c r="B28" s="21" t="n">
        <v>45839</v>
      </c>
      <c r="C28" s="17" t="str">
        <f aca="false">TEXT(B28,"mmm")</f>
        <v>Jul</v>
      </c>
      <c r="D28" s="20" t="s">
        <v>37</v>
      </c>
      <c r="E28" s="20" t="s">
        <v>51</v>
      </c>
      <c r="F28" s="20" t="s">
        <v>41</v>
      </c>
      <c r="G28" s="22" t="n">
        <v>741.09</v>
      </c>
      <c r="H28" s="22" t="n">
        <v>575.89</v>
      </c>
      <c r="I28" s="23" t="n">
        <f aca="false">H28-G28</f>
        <v>-165.2</v>
      </c>
      <c r="J28" s="20" t="s">
        <v>23</v>
      </c>
      <c r="K28" s="20" t="n">
        <v>42</v>
      </c>
    </row>
    <row r="29" customFormat="false" ht="15" hidden="false" customHeight="true" outlineLevel="0" collapsed="false">
      <c r="A29" s="20" t="s">
        <v>77</v>
      </c>
      <c r="B29" s="21" t="n">
        <v>45708</v>
      </c>
      <c r="C29" s="17" t="str">
        <f aca="false">TEXT(B29,"mmm")</f>
        <v>Feb</v>
      </c>
      <c r="D29" s="20" t="s">
        <v>33</v>
      </c>
      <c r="E29" s="20" t="s">
        <v>51</v>
      </c>
      <c r="F29" s="20" t="s">
        <v>45</v>
      </c>
      <c r="G29" s="22" t="n">
        <v>912.13</v>
      </c>
      <c r="H29" s="22" t="n">
        <v>733.93</v>
      </c>
      <c r="I29" s="23" t="n">
        <f aca="false">H29-G29</f>
        <v>-178.2</v>
      </c>
      <c r="J29" s="20" t="s">
        <v>23</v>
      </c>
      <c r="K29" s="20" t="n">
        <v>35</v>
      </c>
    </row>
    <row r="30" customFormat="false" ht="15" hidden="false" customHeight="true" outlineLevel="0" collapsed="false">
      <c r="A30" s="20" t="s">
        <v>78</v>
      </c>
      <c r="B30" s="21" t="n">
        <v>45887</v>
      </c>
      <c r="C30" s="17" t="str">
        <f aca="false">TEXT(B30,"mmm")</f>
        <v>Aug</v>
      </c>
      <c r="D30" s="20" t="s">
        <v>56</v>
      </c>
      <c r="E30" s="20" t="s">
        <v>51</v>
      </c>
      <c r="F30" s="20" t="s">
        <v>54</v>
      </c>
      <c r="G30" s="22" t="n">
        <v>955.79</v>
      </c>
      <c r="H30" s="22" t="n">
        <v>836.22</v>
      </c>
      <c r="I30" s="23" t="n">
        <f aca="false">H30-G30</f>
        <v>-119.57</v>
      </c>
      <c r="J30" s="20" t="s">
        <v>25</v>
      </c>
      <c r="K30" s="20" t="n">
        <v>29</v>
      </c>
    </row>
    <row r="31" customFormat="false" ht="15" hidden="false" customHeight="true" outlineLevel="0" collapsed="false">
      <c r="A31" s="20" t="s">
        <v>79</v>
      </c>
      <c r="B31" s="21" t="n">
        <v>45939</v>
      </c>
      <c r="C31" s="17" t="str">
        <f aca="false">TEXT(B31,"mmm")</f>
        <v>Oct</v>
      </c>
      <c r="D31" s="20" t="s">
        <v>33</v>
      </c>
      <c r="E31" s="20" t="s">
        <v>34</v>
      </c>
      <c r="F31" s="20" t="s">
        <v>38</v>
      </c>
      <c r="G31" s="22" t="n">
        <v>12586.28</v>
      </c>
      <c r="H31" s="22" t="n">
        <v>15269.47</v>
      </c>
      <c r="I31" s="23" t="n">
        <f aca="false">H31-G31</f>
        <v>2683.19</v>
      </c>
      <c r="J31" s="20" t="s">
        <v>24</v>
      </c>
      <c r="K31" s="20" t="n">
        <v>11</v>
      </c>
    </row>
    <row r="32" customFormat="false" ht="15" hidden="false" customHeight="true" outlineLevel="0" collapsed="false">
      <c r="A32" s="20" t="s">
        <v>80</v>
      </c>
      <c r="B32" s="21" t="n">
        <v>45866</v>
      </c>
      <c r="C32" s="17" t="str">
        <f aca="false">TEXT(B32,"mmm")</f>
        <v>Jul</v>
      </c>
      <c r="D32" s="20" t="s">
        <v>37</v>
      </c>
      <c r="E32" s="20" t="s">
        <v>51</v>
      </c>
      <c r="F32" s="20" t="s">
        <v>48</v>
      </c>
      <c r="G32" s="22" t="n">
        <v>317.69</v>
      </c>
      <c r="H32" s="22" t="n">
        <v>381.62</v>
      </c>
      <c r="I32" s="23" t="n">
        <f aca="false">H32-G32</f>
        <v>63.93</v>
      </c>
      <c r="J32" s="20" t="s">
        <v>23</v>
      </c>
      <c r="K32" s="20" t="n">
        <v>1</v>
      </c>
    </row>
    <row r="33" customFormat="false" ht="15" hidden="false" customHeight="true" outlineLevel="0" collapsed="false">
      <c r="A33" s="20" t="s">
        <v>81</v>
      </c>
      <c r="B33" s="21" t="n">
        <v>45857</v>
      </c>
      <c r="C33" s="17" t="str">
        <f aca="false">TEXT(B33,"mmm")</f>
        <v>Jul</v>
      </c>
      <c r="D33" s="20" t="s">
        <v>50</v>
      </c>
      <c r="E33" s="20" t="s">
        <v>51</v>
      </c>
      <c r="F33" s="20" t="s">
        <v>35</v>
      </c>
      <c r="G33" s="22" t="n">
        <v>2539.36</v>
      </c>
      <c r="H33" s="22" t="n">
        <v>3120.01</v>
      </c>
      <c r="I33" s="23" t="n">
        <f aca="false">H33-G33</f>
        <v>580.65</v>
      </c>
      <c r="J33" s="20" t="s">
        <v>25</v>
      </c>
      <c r="K33" s="20" t="n">
        <v>36</v>
      </c>
    </row>
    <row r="34" customFormat="false" ht="15" hidden="false" customHeight="true" outlineLevel="0" collapsed="false">
      <c r="A34" s="20" t="s">
        <v>82</v>
      </c>
      <c r="B34" s="21" t="n">
        <v>45996</v>
      </c>
      <c r="C34" s="17" t="str">
        <f aca="false">TEXT(B34,"mmm")</f>
        <v>Dec</v>
      </c>
      <c r="D34" s="20" t="s">
        <v>37</v>
      </c>
      <c r="E34" s="20" t="s">
        <v>40</v>
      </c>
      <c r="F34" s="20" t="s">
        <v>48</v>
      </c>
      <c r="G34" s="22" t="n">
        <v>259.76</v>
      </c>
      <c r="H34" s="22" t="n">
        <v>320.64</v>
      </c>
      <c r="I34" s="23" t="n">
        <f aca="false">H34-G34</f>
        <v>60.88</v>
      </c>
      <c r="J34" s="20" t="s">
        <v>23</v>
      </c>
      <c r="K34" s="20" t="n">
        <v>35</v>
      </c>
    </row>
    <row r="35" customFormat="false" ht="15" hidden="false" customHeight="true" outlineLevel="0" collapsed="false">
      <c r="A35" s="20" t="s">
        <v>83</v>
      </c>
      <c r="B35" s="21" t="n">
        <v>45689</v>
      </c>
      <c r="C35" s="17" t="str">
        <f aca="false">TEXT(B35,"mmm")</f>
        <v>Feb</v>
      </c>
      <c r="D35" s="20" t="s">
        <v>50</v>
      </c>
      <c r="E35" s="20" t="s">
        <v>34</v>
      </c>
      <c r="F35" s="20" t="s">
        <v>38</v>
      </c>
      <c r="G35" s="22" t="n">
        <v>9154.39</v>
      </c>
      <c r="H35" s="22" t="n">
        <v>9167.44</v>
      </c>
      <c r="I35" s="23" t="n">
        <f aca="false">H35-G35</f>
        <v>13.0500000000011</v>
      </c>
      <c r="J35" s="20" t="s">
        <v>24</v>
      </c>
      <c r="K35" s="20" t="n">
        <v>11</v>
      </c>
    </row>
    <row r="36" customFormat="false" ht="15" hidden="false" customHeight="true" outlineLevel="0" collapsed="false">
      <c r="A36" s="20" t="s">
        <v>84</v>
      </c>
      <c r="B36" s="21" t="n">
        <v>45687</v>
      </c>
      <c r="C36" s="17" t="str">
        <f aca="false">TEXT(B36,"mmm")</f>
        <v>Jan</v>
      </c>
      <c r="D36" s="20" t="s">
        <v>33</v>
      </c>
      <c r="E36" s="20" t="s">
        <v>40</v>
      </c>
      <c r="F36" s="20" t="s">
        <v>59</v>
      </c>
      <c r="G36" s="22" t="n">
        <v>1570.46</v>
      </c>
      <c r="H36" s="22" t="n">
        <v>1708.04</v>
      </c>
      <c r="I36" s="23" t="n">
        <f aca="false">H36-G36</f>
        <v>137.58</v>
      </c>
      <c r="J36" s="20" t="s">
        <v>23</v>
      </c>
      <c r="K36" s="20" t="n">
        <v>8</v>
      </c>
    </row>
    <row r="37" customFormat="false" ht="15" hidden="false" customHeight="true" outlineLevel="0" collapsed="false">
      <c r="A37" s="20" t="s">
        <v>85</v>
      </c>
      <c r="B37" s="21" t="n">
        <v>45949</v>
      </c>
      <c r="C37" s="17" t="str">
        <f aca="false">TEXT(B37,"mmm")</f>
        <v>Oct</v>
      </c>
      <c r="D37" s="20" t="s">
        <v>56</v>
      </c>
      <c r="E37" s="20" t="s">
        <v>53</v>
      </c>
      <c r="F37" s="20" t="s">
        <v>38</v>
      </c>
      <c r="G37" s="22" t="n">
        <v>10243.69</v>
      </c>
      <c r="H37" s="22" t="n">
        <v>9829.97</v>
      </c>
      <c r="I37" s="23" t="n">
        <f aca="false">H37-G37</f>
        <v>-413.720000000001</v>
      </c>
      <c r="J37" s="20" t="s">
        <v>23</v>
      </c>
      <c r="K37" s="20" t="n">
        <v>34</v>
      </c>
    </row>
    <row r="38" customFormat="false" ht="15" hidden="false" customHeight="true" outlineLevel="0" collapsed="false">
      <c r="A38" s="20" t="s">
        <v>86</v>
      </c>
      <c r="B38" s="21" t="n">
        <v>45819</v>
      </c>
      <c r="C38" s="17" t="str">
        <f aca="false">TEXT(B38,"mmm")</f>
        <v>Jun</v>
      </c>
      <c r="D38" s="20" t="s">
        <v>50</v>
      </c>
      <c r="E38" s="20" t="s">
        <v>40</v>
      </c>
      <c r="F38" s="20" t="s">
        <v>45</v>
      </c>
      <c r="G38" s="22" t="n">
        <v>614.71</v>
      </c>
      <c r="H38" s="22" t="n">
        <v>582.68</v>
      </c>
      <c r="I38" s="23" t="n">
        <f aca="false">H38-G38</f>
        <v>-32.0300000000001</v>
      </c>
      <c r="J38" s="20" t="s">
        <v>23</v>
      </c>
      <c r="K38" s="20" t="n">
        <v>20</v>
      </c>
    </row>
    <row r="39" customFormat="false" ht="15" hidden="false" customHeight="true" outlineLevel="0" collapsed="false">
      <c r="A39" s="20" t="s">
        <v>87</v>
      </c>
      <c r="B39" s="21" t="n">
        <v>45892</v>
      </c>
      <c r="C39" s="17" t="str">
        <f aca="false">TEXT(B39,"mmm")</f>
        <v>Aug</v>
      </c>
      <c r="D39" s="20" t="s">
        <v>50</v>
      </c>
      <c r="E39" s="20" t="s">
        <v>34</v>
      </c>
      <c r="F39" s="20" t="s">
        <v>38</v>
      </c>
      <c r="G39" s="22" t="n">
        <v>8747.76</v>
      </c>
      <c r="H39" s="22" t="n">
        <v>10927.94</v>
      </c>
      <c r="I39" s="23" t="n">
        <f aca="false">H39-G39</f>
        <v>2180.18</v>
      </c>
      <c r="J39" s="20" t="s">
        <v>25</v>
      </c>
      <c r="K39" s="20" t="n">
        <v>5</v>
      </c>
    </row>
    <row r="40" customFormat="false" ht="15" hidden="false" customHeight="true" outlineLevel="0" collapsed="false">
      <c r="A40" s="20" t="s">
        <v>88</v>
      </c>
      <c r="B40" s="21" t="n">
        <v>45933</v>
      </c>
      <c r="C40" s="17" t="str">
        <f aca="false">TEXT(B40,"mmm")</f>
        <v>Oct</v>
      </c>
      <c r="D40" s="20" t="s">
        <v>56</v>
      </c>
      <c r="E40" s="20" t="s">
        <v>53</v>
      </c>
      <c r="F40" s="20" t="s">
        <v>35</v>
      </c>
      <c r="G40" s="22" t="n">
        <v>2501.58</v>
      </c>
      <c r="H40" s="22" t="n">
        <v>2312.72</v>
      </c>
      <c r="I40" s="23" t="n">
        <f aca="false">H40-G40</f>
        <v>-188.86</v>
      </c>
      <c r="J40" s="20" t="s">
        <v>23</v>
      </c>
      <c r="K40" s="20" t="n">
        <v>16</v>
      </c>
    </row>
    <row r="41" customFormat="false" ht="15" hidden="false" customHeight="true" outlineLevel="0" collapsed="false">
      <c r="A41" s="20" t="s">
        <v>89</v>
      </c>
      <c r="B41" s="21" t="n">
        <v>45847</v>
      </c>
      <c r="C41" s="17" t="str">
        <f aca="false">TEXT(B41,"mmm")</f>
        <v>Jul</v>
      </c>
      <c r="D41" s="20" t="s">
        <v>50</v>
      </c>
      <c r="E41" s="20" t="s">
        <v>40</v>
      </c>
      <c r="F41" s="20" t="s">
        <v>41</v>
      </c>
      <c r="G41" s="22" t="n">
        <v>820.28</v>
      </c>
      <c r="H41" s="22" t="n">
        <v>903.76</v>
      </c>
      <c r="I41" s="23" t="n">
        <f aca="false">H41-G41</f>
        <v>83.48</v>
      </c>
      <c r="J41" s="20" t="s">
        <v>23</v>
      </c>
      <c r="K41" s="20" t="n">
        <v>42</v>
      </c>
    </row>
    <row r="42" customFormat="false" ht="15" hidden="false" customHeight="true" outlineLevel="0" collapsed="false">
      <c r="A42" s="20" t="s">
        <v>90</v>
      </c>
      <c r="B42" s="21" t="n">
        <v>45928</v>
      </c>
      <c r="C42" s="17" t="str">
        <f aca="false">TEXT(B42,"mmm")</f>
        <v>Sep</v>
      </c>
      <c r="D42" s="20" t="s">
        <v>33</v>
      </c>
      <c r="E42" s="20" t="s">
        <v>57</v>
      </c>
      <c r="F42" s="20" t="s">
        <v>35</v>
      </c>
      <c r="G42" s="22" t="n">
        <v>3659.02</v>
      </c>
      <c r="H42" s="22" t="n">
        <v>2933.78</v>
      </c>
      <c r="I42" s="23" t="n">
        <f aca="false">H42-G42</f>
        <v>-725.24</v>
      </c>
      <c r="J42" s="20" t="s">
        <v>24</v>
      </c>
      <c r="K42" s="20" t="n">
        <v>17</v>
      </c>
    </row>
    <row r="43" customFormat="false" ht="15" hidden="false" customHeight="true" outlineLevel="0" collapsed="false">
      <c r="A43" s="20" t="s">
        <v>91</v>
      </c>
      <c r="B43" s="21" t="n">
        <v>45717</v>
      </c>
      <c r="C43" s="17" t="str">
        <f aca="false">TEXT(B43,"mmm")</f>
        <v>Mar</v>
      </c>
      <c r="D43" s="20" t="s">
        <v>33</v>
      </c>
      <c r="E43" s="20" t="s">
        <v>57</v>
      </c>
      <c r="F43" s="20" t="s">
        <v>54</v>
      </c>
      <c r="G43" s="22" t="n">
        <v>1044.25</v>
      </c>
      <c r="H43" s="22" t="n">
        <v>1098.98</v>
      </c>
      <c r="I43" s="23" t="n">
        <f aca="false">H43-G43</f>
        <v>54.73</v>
      </c>
      <c r="J43" s="20" t="s">
        <v>24</v>
      </c>
      <c r="K43" s="20" t="n">
        <v>14</v>
      </c>
    </row>
    <row r="44" customFormat="false" ht="15" hidden="false" customHeight="true" outlineLevel="0" collapsed="false">
      <c r="A44" s="20" t="s">
        <v>92</v>
      </c>
      <c r="B44" s="21" t="n">
        <v>46009</v>
      </c>
      <c r="C44" s="17" t="str">
        <f aca="false">TEXT(B44,"mmm")</f>
        <v>Dec</v>
      </c>
      <c r="D44" s="20" t="s">
        <v>50</v>
      </c>
      <c r="E44" s="20" t="s">
        <v>53</v>
      </c>
      <c r="F44" s="20" t="s">
        <v>41</v>
      </c>
      <c r="G44" s="22" t="n">
        <v>665.3</v>
      </c>
      <c r="H44" s="22" t="n">
        <v>801.07</v>
      </c>
      <c r="I44" s="23" t="n">
        <f aca="false">H44-G44</f>
        <v>135.77</v>
      </c>
      <c r="J44" s="20" t="s">
        <v>23</v>
      </c>
      <c r="K44" s="20" t="n">
        <v>41</v>
      </c>
    </row>
    <row r="45" customFormat="false" ht="15" hidden="false" customHeight="true" outlineLevel="0" collapsed="false">
      <c r="A45" s="20" t="s">
        <v>93</v>
      </c>
      <c r="B45" s="21" t="n">
        <v>45874</v>
      </c>
      <c r="C45" s="17" t="str">
        <f aca="false">TEXT(B45,"mmm")</f>
        <v>Aug</v>
      </c>
      <c r="D45" s="20" t="s">
        <v>50</v>
      </c>
      <c r="E45" s="20" t="s">
        <v>34</v>
      </c>
      <c r="F45" s="20" t="s">
        <v>38</v>
      </c>
      <c r="G45" s="22" t="n">
        <v>8344.89</v>
      </c>
      <c r="H45" s="22" t="n">
        <v>6804.51</v>
      </c>
      <c r="I45" s="23" t="n">
        <f aca="false">H45-G45</f>
        <v>-1540.38</v>
      </c>
      <c r="J45" s="20" t="s">
        <v>25</v>
      </c>
      <c r="K45" s="20" t="n">
        <v>11</v>
      </c>
    </row>
    <row r="46" customFormat="false" ht="15" hidden="false" customHeight="true" outlineLevel="0" collapsed="false">
      <c r="A46" s="20" t="s">
        <v>94</v>
      </c>
      <c r="B46" s="21" t="n">
        <v>45884</v>
      </c>
      <c r="C46" s="17" t="str">
        <f aca="false">TEXT(B46,"mmm")</f>
        <v>Aug</v>
      </c>
      <c r="D46" s="20" t="s">
        <v>37</v>
      </c>
      <c r="E46" s="20" t="s">
        <v>53</v>
      </c>
      <c r="F46" s="20" t="s">
        <v>38</v>
      </c>
      <c r="G46" s="22" t="n">
        <v>6825.82</v>
      </c>
      <c r="H46" s="22" t="n">
        <v>8344.74</v>
      </c>
      <c r="I46" s="23" t="n">
        <f aca="false">H46-G46</f>
        <v>1518.92</v>
      </c>
      <c r="J46" s="20" t="s">
        <v>23</v>
      </c>
      <c r="K46" s="20" t="n">
        <v>10</v>
      </c>
    </row>
    <row r="47" customFormat="false" ht="15" hidden="false" customHeight="true" outlineLevel="0" collapsed="false">
      <c r="A47" s="20" t="s">
        <v>95</v>
      </c>
      <c r="B47" s="21" t="n">
        <v>45937</v>
      </c>
      <c r="C47" s="17" t="str">
        <f aca="false">TEXT(B47,"mmm")</f>
        <v>Oct</v>
      </c>
      <c r="D47" s="20" t="s">
        <v>33</v>
      </c>
      <c r="E47" s="20" t="s">
        <v>43</v>
      </c>
      <c r="F47" s="20" t="s">
        <v>54</v>
      </c>
      <c r="G47" s="22" t="n">
        <v>1109.43</v>
      </c>
      <c r="H47" s="22" t="n">
        <v>855.28</v>
      </c>
      <c r="I47" s="23" t="n">
        <f aca="false">H47-G47</f>
        <v>-254.15</v>
      </c>
      <c r="J47" s="20" t="s">
        <v>23</v>
      </c>
      <c r="K47" s="20" t="n">
        <v>3</v>
      </c>
    </row>
    <row r="48" customFormat="false" ht="15" hidden="false" customHeight="true" outlineLevel="0" collapsed="false">
      <c r="A48" s="20" t="s">
        <v>96</v>
      </c>
      <c r="B48" s="21" t="n">
        <v>45841</v>
      </c>
      <c r="C48" s="17" t="str">
        <f aca="false">TEXT(B48,"mmm")</f>
        <v>Jul</v>
      </c>
      <c r="D48" s="20" t="s">
        <v>56</v>
      </c>
      <c r="E48" s="20" t="s">
        <v>57</v>
      </c>
      <c r="F48" s="20" t="s">
        <v>48</v>
      </c>
      <c r="G48" s="22" t="n">
        <v>367.53</v>
      </c>
      <c r="H48" s="22" t="n">
        <v>340.64</v>
      </c>
      <c r="I48" s="23" t="n">
        <f aca="false">H48-G48</f>
        <v>-26.89</v>
      </c>
      <c r="J48" s="20" t="s">
        <v>23</v>
      </c>
      <c r="K48" s="20" t="n">
        <v>27</v>
      </c>
    </row>
    <row r="49" customFormat="false" ht="15" hidden="false" customHeight="true" outlineLevel="0" collapsed="false">
      <c r="A49" s="20" t="s">
        <v>97</v>
      </c>
      <c r="B49" s="21" t="n">
        <v>45975</v>
      </c>
      <c r="C49" s="17" t="str">
        <f aca="false">TEXT(B49,"mmm")</f>
        <v>Nov</v>
      </c>
      <c r="D49" s="20" t="s">
        <v>56</v>
      </c>
      <c r="E49" s="20" t="s">
        <v>40</v>
      </c>
      <c r="F49" s="20" t="s">
        <v>54</v>
      </c>
      <c r="G49" s="22" t="n">
        <v>1219.51</v>
      </c>
      <c r="H49" s="22" t="n">
        <v>1409</v>
      </c>
      <c r="I49" s="23" t="n">
        <f aca="false">H49-G49</f>
        <v>189.49</v>
      </c>
      <c r="J49" s="20" t="s">
        <v>24</v>
      </c>
      <c r="K49" s="20" t="n">
        <v>2</v>
      </c>
    </row>
    <row r="50" customFormat="false" ht="15" hidden="false" customHeight="true" outlineLevel="0" collapsed="false">
      <c r="A50" s="20" t="s">
        <v>98</v>
      </c>
      <c r="B50" s="21" t="n">
        <v>45749</v>
      </c>
      <c r="C50" s="17" t="str">
        <f aca="false">TEXT(B50,"mmm")</f>
        <v>Apr</v>
      </c>
      <c r="D50" s="20" t="s">
        <v>50</v>
      </c>
      <c r="E50" s="20" t="s">
        <v>51</v>
      </c>
      <c r="F50" s="20" t="s">
        <v>48</v>
      </c>
      <c r="G50" s="22" t="n">
        <v>286.92</v>
      </c>
      <c r="H50" s="22" t="n">
        <v>328.15</v>
      </c>
      <c r="I50" s="23" t="n">
        <f aca="false">H50-G50</f>
        <v>41.23</v>
      </c>
      <c r="J50" s="20" t="s">
        <v>23</v>
      </c>
      <c r="K50" s="20" t="n">
        <v>3</v>
      </c>
    </row>
    <row r="51" customFormat="false" ht="15" hidden="false" customHeight="true" outlineLevel="0" collapsed="false">
      <c r="A51" s="20" t="s">
        <v>99</v>
      </c>
      <c r="B51" s="21" t="n">
        <v>45898</v>
      </c>
      <c r="C51" s="17" t="str">
        <f aca="false">TEXT(B51,"mmm")</f>
        <v>Aug</v>
      </c>
      <c r="D51" s="20" t="s">
        <v>56</v>
      </c>
      <c r="E51" s="20" t="s">
        <v>40</v>
      </c>
      <c r="F51" s="20" t="s">
        <v>41</v>
      </c>
      <c r="G51" s="22" t="n">
        <v>764.3</v>
      </c>
      <c r="H51" s="22" t="n">
        <v>886.79</v>
      </c>
      <c r="I51" s="23" t="n">
        <f aca="false">H51-G51</f>
        <v>122.49</v>
      </c>
      <c r="J51" s="20" t="s">
        <v>24</v>
      </c>
      <c r="K51" s="20" t="n">
        <v>15</v>
      </c>
    </row>
    <row r="52" customFormat="false" ht="15" hidden="false" customHeight="true" outlineLevel="0" collapsed="false">
      <c r="A52" s="20" t="s">
        <v>100</v>
      </c>
      <c r="B52" s="21" t="n">
        <v>45670</v>
      </c>
      <c r="C52" s="17" t="str">
        <f aca="false">TEXT(B52,"mmm")</f>
        <v>Jan</v>
      </c>
      <c r="D52" s="20" t="s">
        <v>56</v>
      </c>
      <c r="E52" s="20" t="s">
        <v>51</v>
      </c>
      <c r="F52" s="20" t="s">
        <v>45</v>
      </c>
      <c r="G52" s="22" t="n">
        <v>690.31</v>
      </c>
      <c r="H52" s="22" t="n">
        <v>541.69</v>
      </c>
      <c r="I52" s="23" t="n">
        <f aca="false">H52-G52</f>
        <v>-148.62</v>
      </c>
      <c r="J52" s="20" t="s">
        <v>24</v>
      </c>
      <c r="K52" s="20" t="n">
        <v>23</v>
      </c>
    </row>
    <row r="53" customFormat="false" ht="15" hidden="false" customHeight="true" outlineLevel="0" collapsed="false">
      <c r="A53" s="20" t="s">
        <v>101</v>
      </c>
      <c r="B53" s="21" t="n">
        <v>45986</v>
      </c>
      <c r="C53" s="17" t="str">
        <f aca="false">TEXT(B53,"mmm")</f>
        <v>Nov</v>
      </c>
      <c r="D53" s="20" t="s">
        <v>37</v>
      </c>
      <c r="E53" s="20" t="s">
        <v>57</v>
      </c>
      <c r="F53" s="20" t="s">
        <v>45</v>
      </c>
      <c r="G53" s="22" t="n">
        <v>704.82</v>
      </c>
      <c r="H53" s="22" t="n">
        <v>569.26</v>
      </c>
      <c r="I53" s="23" t="n">
        <f aca="false">H53-G53</f>
        <v>-135.56</v>
      </c>
      <c r="J53" s="20" t="s">
        <v>25</v>
      </c>
      <c r="K53" s="20" t="n">
        <v>12</v>
      </c>
    </row>
    <row r="54" customFormat="false" ht="15" hidden="false" customHeight="true" outlineLevel="0" collapsed="false">
      <c r="A54" s="20" t="s">
        <v>102</v>
      </c>
      <c r="B54" s="21" t="n">
        <v>45955</v>
      </c>
      <c r="C54" s="17" t="str">
        <f aca="false">TEXT(B54,"mmm")</f>
        <v>Oct</v>
      </c>
      <c r="D54" s="20" t="s">
        <v>50</v>
      </c>
      <c r="E54" s="20" t="s">
        <v>34</v>
      </c>
      <c r="F54" s="20" t="s">
        <v>59</v>
      </c>
      <c r="G54" s="22" t="n">
        <v>1298.04</v>
      </c>
      <c r="H54" s="22" t="n">
        <v>1197.89</v>
      </c>
      <c r="I54" s="23" t="n">
        <f aca="false">H54-G54</f>
        <v>-100.15</v>
      </c>
      <c r="J54" s="20" t="s">
        <v>24</v>
      </c>
      <c r="K54" s="20" t="n">
        <v>28</v>
      </c>
    </row>
    <row r="55" customFormat="false" ht="15" hidden="false" customHeight="true" outlineLevel="0" collapsed="false">
      <c r="A55" s="20" t="s">
        <v>103</v>
      </c>
      <c r="B55" s="21" t="n">
        <v>45968</v>
      </c>
      <c r="C55" s="17" t="str">
        <f aca="false">TEXT(B55,"mmm")</f>
        <v>Nov</v>
      </c>
      <c r="D55" s="20" t="s">
        <v>33</v>
      </c>
      <c r="E55" s="20" t="s">
        <v>51</v>
      </c>
      <c r="F55" s="20" t="s">
        <v>48</v>
      </c>
      <c r="G55" s="22" t="n">
        <v>345.65</v>
      </c>
      <c r="H55" s="22" t="n">
        <v>381.73</v>
      </c>
      <c r="I55" s="23" t="n">
        <f aca="false">H55-G55</f>
        <v>36.08</v>
      </c>
      <c r="J55" s="20" t="s">
        <v>23</v>
      </c>
      <c r="K55" s="20" t="n">
        <v>35</v>
      </c>
    </row>
    <row r="56" customFormat="false" ht="15" hidden="false" customHeight="true" outlineLevel="0" collapsed="false">
      <c r="A56" s="20" t="s">
        <v>104</v>
      </c>
      <c r="B56" s="21" t="n">
        <v>46009</v>
      </c>
      <c r="C56" s="17" t="str">
        <f aca="false">TEXT(B56,"mmm")</f>
        <v>Dec</v>
      </c>
      <c r="D56" s="20" t="s">
        <v>56</v>
      </c>
      <c r="E56" s="20" t="s">
        <v>43</v>
      </c>
      <c r="F56" s="20" t="s">
        <v>62</v>
      </c>
      <c r="G56" s="22" t="n">
        <v>3118.04</v>
      </c>
      <c r="H56" s="22" t="n">
        <v>3374.09</v>
      </c>
      <c r="I56" s="23" t="n">
        <f aca="false">H56-G56</f>
        <v>256.05</v>
      </c>
      <c r="J56" s="20" t="s">
        <v>23</v>
      </c>
      <c r="K56" s="20" t="n">
        <v>21</v>
      </c>
    </row>
    <row r="57" customFormat="false" ht="15" hidden="false" customHeight="true" outlineLevel="0" collapsed="false">
      <c r="A57" s="20" t="s">
        <v>105</v>
      </c>
      <c r="B57" s="21" t="n">
        <v>45997</v>
      </c>
      <c r="C57" s="17" t="str">
        <f aca="false">TEXT(B57,"mmm")</f>
        <v>Dec</v>
      </c>
      <c r="D57" s="20" t="s">
        <v>33</v>
      </c>
      <c r="E57" s="20" t="s">
        <v>57</v>
      </c>
      <c r="F57" s="20" t="s">
        <v>35</v>
      </c>
      <c r="G57" s="22" t="n">
        <v>3170.69</v>
      </c>
      <c r="H57" s="22" t="n">
        <v>3435.27</v>
      </c>
      <c r="I57" s="23" t="n">
        <f aca="false">H57-G57</f>
        <v>264.58</v>
      </c>
      <c r="J57" s="20" t="s">
        <v>23</v>
      </c>
      <c r="K57" s="20" t="n">
        <v>45</v>
      </c>
    </row>
    <row r="58" customFormat="false" ht="15" hidden="false" customHeight="true" outlineLevel="0" collapsed="false">
      <c r="A58" s="20" t="s">
        <v>106</v>
      </c>
      <c r="B58" s="21" t="n">
        <v>45809</v>
      </c>
      <c r="C58" s="17" t="str">
        <f aca="false">TEXT(B58,"mmm")</f>
        <v>Jun</v>
      </c>
      <c r="D58" s="20" t="s">
        <v>56</v>
      </c>
      <c r="E58" s="20" t="s">
        <v>40</v>
      </c>
      <c r="F58" s="20" t="s">
        <v>62</v>
      </c>
      <c r="G58" s="22" t="n">
        <v>3917.67</v>
      </c>
      <c r="H58" s="22" t="n">
        <v>3680.94</v>
      </c>
      <c r="I58" s="23" t="n">
        <f aca="false">H58-G58</f>
        <v>-236.73</v>
      </c>
      <c r="J58" s="20" t="s">
        <v>24</v>
      </c>
      <c r="K58" s="20" t="n">
        <v>12</v>
      </c>
    </row>
    <row r="59" customFormat="false" ht="15" hidden="false" customHeight="true" outlineLevel="0" collapsed="false">
      <c r="A59" s="20" t="s">
        <v>107</v>
      </c>
      <c r="B59" s="21" t="n">
        <v>45973</v>
      </c>
      <c r="C59" s="17" t="str">
        <f aca="false">TEXT(B59,"mmm")</f>
        <v>Nov</v>
      </c>
      <c r="D59" s="20" t="s">
        <v>50</v>
      </c>
      <c r="E59" s="20" t="s">
        <v>51</v>
      </c>
      <c r="F59" s="20" t="s">
        <v>38</v>
      </c>
      <c r="G59" s="22" t="n">
        <v>8249.02</v>
      </c>
      <c r="H59" s="22" t="n">
        <v>7053.67</v>
      </c>
      <c r="I59" s="23" t="n">
        <f aca="false">H59-G59</f>
        <v>-1195.35</v>
      </c>
      <c r="J59" s="20" t="s">
        <v>24</v>
      </c>
      <c r="K59" s="20" t="n">
        <v>39</v>
      </c>
    </row>
    <row r="60" customFormat="false" ht="15" hidden="false" customHeight="true" outlineLevel="0" collapsed="false">
      <c r="A60" s="20" t="s">
        <v>108</v>
      </c>
      <c r="B60" s="21" t="n">
        <v>45993</v>
      </c>
      <c r="C60" s="17" t="str">
        <f aca="false">TEXT(B60,"mmm")</f>
        <v>Dec</v>
      </c>
      <c r="D60" s="20" t="s">
        <v>50</v>
      </c>
      <c r="E60" s="20" t="s">
        <v>51</v>
      </c>
      <c r="F60" s="20" t="s">
        <v>41</v>
      </c>
      <c r="G60" s="22" t="n">
        <v>716.11</v>
      </c>
      <c r="H60" s="22" t="n">
        <v>613.6</v>
      </c>
      <c r="I60" s="23" t="n">
        <f aca="false">H60-G60</f>
        <v>-102.51</v>
      </c>
      <c r="J60" s="20" t="s">
        <v>23</v>
      </c>
      <c r="K60" s="20" t="n">
        <v>11</v>
      </c>
    </row>
    <row r="61" customFormat="false" ht="15" hidden="false" customHeight="true" outlineLevel="0" collapsed="false">
      <c r="A61" s="20" t="s">
        <v>109</v>
      </c>
      <c r="B61" s="21" t="n">
        <v>45995</v>
      </c>
      <c r="C61" s="17" t="str">
        <f aca="false">TEXT(B61,"mmm")</f>
        <v>Dec</v>
      </c>
      <c r="D61" s="20" t="s">
        <v>33</v>
      </c>
      <c r="E61" s="20" t="s">
        <v>43</v>
      </c>
      <c r="F61" s="20" t="s">
        <v>45</v>
      </c>
      <c r="G61" s="22" t="n">
        <v>700.67</v>
      </c>
      <c r="H61" s="22" t="n">
        <v>859.02</v>
      </c>
      <c r="I61" s="23" t="n">
        <f aca="false">H61-G61</f>
        <v>158.35</v>
      </c>
      <c r="J61" s="20" t="s">
        <v>23</v>
      </c>
      <c r="K61" s="20" t="n">
        <v>20</v>
      </c>
    </row>
    <row r="62" customFormat="false" ht="15" hidden="false" customHeight="true" outlineLevel="0" collapsed="false">
      <c r="A62" s="20" t="s">
        <v>110</v>
      </c>
      <c r="B62" s="21" t="n">
        <v>45773</v>
      </c>
      <c r="C62" s="17" t="str">
        <f aca="false">TEXT(B62,"mmm")</f>
        <v>Apr</v>
      </c>
      <c r="D62" s="20" t="s">
        <v>56</v>
      </c>
      <c r="E62" s="20" t="s">
        <v>40</v>
      </c>
      <c r="F62" s="20" t="s">
        <v>38</v>
      </c>
      <c r="G62" s="22" t="n">
        <v>8197.48</v>
      </c>
      <c r="H62" s="22" t="n">
        <v>10181.01</v>
      </c>
      <c r="I62" s="23" t="n">
        <f aca="false">H62-G62</f>
        <v>1983.53</v>
      </c>
      <c r="J62" s="20" t="s">
        <v>23</v>
      </c>
      <c r="K62" s="20" t="n">
        <v>5</v>
      </c>
    </row>
    <row r="63" customFormat="false" ht="15" hidden="false" customHeight="true" outlineLevel="0" collapsed="false">
      <c r="A63" s="20" t="s">
        <v>111</v>
      </c>
      <c r="B63" s="21" t="n">
        <v>45891</v>
      </c>
      <c r="C63" s="17" t="str">
        <f aca="false">TEXT(B63,"mmm")</f>
        <v>Aug</v>
      </c>
      <c r="D63" s="20" t="s">
        <v>37</v>
      </c>
      <c r="E63" s="20" t="s">
        <v>57</v>
      </c>
      <c r="F63" s="20" t="s">
        <v>48</v>
      </c>
      <c r="G63" s="22" t="n">
        <v>302.77</v>
      </c>
      <c r="H63" s="22" t="n">
        <v>285.21</v>
      </c>
      <c r="I63" s="23" t="n">
        <f aca="false">H63-G63</f>
        <v>-17.56</v>
      </c>
      <c r="J63" s="20" t="s">
        <v>23</v>
      </c>
      <c r="K63" s="20" t="n">
        <v>10</v>
      </c>
    </row>
    <row r="64" customFormat="false" ht="15" hidden="false" customHeight="true" outlineLevel="0" collapsed="false">
      <c r="A64" s="20" t="s">
        <v>112</v>
      </c>
      <c r="B64" s="21" t="n">
        <v>45993</v>
      </c>
      <c r="C64" s="17" t="str">
        <f aca="false">TEXT(B64,"mmm")</f>
        <v>Dec</v>
      </c>
      <c r="D64" s="20" t="s">
        <v>33</v>
      </c>
      <c r="E64" s="20" t="s">
        <v>34</v>
      </c>
      <c r="F64" s="20" t="s">
        <v>62</v>
      </c>
      <c r="G64" s="22" t="n">
        <v>3634.13</v>
      </c>
      <c r="H64" s="22" t="n">
        <v>4186.72</v>
      </c>
      <c r="I64" s="23" t="n">
        <f aca="false">H64-G64</f>
        <v>552.59</v>
      </c>
      <c r="J64" s="20" t="s">
        <v>23</v>
      </c>
      <c r="K64" s="20" t="n">
        <v>30</v>
      </c>
    </row>
    <row r="65" customFormat="false" ht="15" hidden="false" customHeight="true" outlineLevel="0" collapsed="false">
      <c r="A65" s="20" t="s">
        <v>113</v>
      </c>
      <c r="B65" s="21" t="n">
        <v>45683</v>
      </c>
      <c r="C65" s="17" t="str">
        <f aca="false">TEXT(B65,"mmm")</f>
        <v>Jan</v>
      </c>
      <c r="D65" s="20" t="s">
        <v>56</v>
      </c>
      <c r="E65" s="20" t="s">
        <v>34</v>
      </c>
      <c r="F65" s="20" t="s">
        <v>41</v>
      </c>
      <c r="G65" s="22" t="n">
        <v>700.7</v>
      </c>
      <c r="H65" s="22" t="n">
        <v>688.31</v>
      </c>
      <c r="I65" s="23" t="n">
        <f aca="false">H65-G65</f>
        <v>-12.3900000000001</v>
      </c>
      <c r="J65" s="20" t="s">
        <v>23</v>
      </c>
      <c r="K65" s="20" t="n">
        <v>36</v>
      </c>
    </row>
    <row r="66" customFormat="false" ht="15" hidden="false" customHeight="true" outlineLevel="0" collapsed="false">
      <c r="A66" s="20" t="s">
        <v>114</v>
      </c>
      <c r="B66" s="21" t="n">
        <v>45962</v>
      </c>
      <c r="C66" s="17" t="str">
        <f aca="false">TEXT(B66,"mmm")</f>
        <v>Nov</v>
      </c>
      <c r="D66" s="20" t="s">
        <v>50</v>
      </c>
      <c r="E66" s="20" t="s">
        <v>51</v>
      </c>
      <c r="F66" s="20" t="s">
        <v>62</v>
      </c>
      <c r="G66" s="22" t="n">
        <v>3745.97</v>
      </c>
      <c r="H66" s="22" t="n">
        <v>3835.63</v>
      </c>
      <c r="I66" s="23" t="n">
        <f aca="false">H66-G66</f>
        <v>89.6600000000003</v>
      </c>
      <c r="J66" s="20" t="s">
        <v>24</v>
      </c>
      <c r="K66" s="20" t="n">
        <v>31</v>
      </c>
    </row>
    <row r="67" customFormat="false" ht="15" hidden="false" customHeight="true" outlineLevel="0" collapsed="false">
      <c r="A67" s="20" t="s">
        <v>115</v>
      </c>
      <c r="B67" s="21" t="n">
        <v>45888</v>
      </c>
      <c r="C67" s="17" t="str">
        <f aca="false">TEXT(B67,"mmm")</f>
        <v>Aug</v>
      </c>
      <c r="D67" s="20" t="s">
        <v>50</v>
      </c>
      <c r="E67" s="20" t="s">
        <v>40</v>
      </c>
      <c r="F67" s="20" t="s">
        <v>35</v>
      </c>
      <c r="G67" s="22" t="n">
        <v>2865.02</v>
      </c>
      <c r="H67" s="22" t="n">
        <v>2895.53</v>
      </c>
      <c r="I67" s="23" t="n">
        <f aca="false">H67-G67</f>
        <v>30.5100000000002</v>
      </c>
      <c r="J67" s="20" t="s">
        <v>23</v>
      </c>
      <c r="K67" s="20" t="n">
        <v>18</v>
      </c>
    </row>
    <row r="68" customFormat="false" ht="15" hidden="false" customHeight="true" outlineLevel="0" collapsed="false">
      <c r="A68" s="20" t="s">
        <v>116</v>
      </c>
      <c r="B68" s="21" t="n">
        <v>45883</v>
      </c>
      <c r="C68" s="17" t="str">
        <f aca="false">TEXT(B68,"mmm")</f>
        <v>Aug</v>
      </c>
      <c r="D68" s="20" t="s">
        <v>33</v>
      </c>
      <c r="E68" s="20" t="s">
        <v>57</v>
      </c>
      <c r="F68" s="20" t="s">
        <v>35</v>
      </c>
      <c r="G68" s="22" t="n">
        <v>2857.17</v>
      </c>
      <c r="H68" s="22" t="n">
        <v>2622.66</v>
      </c>
      <c r="I68" s="23" t="n">
        <f aca="false">H68-G68</f>
        <v>-234.51</v>
      </c>
      <c r="J68" s="20" t="s">
        <v>24</v>
      </c>
      <c r="K68" s="20" t="n">
        <v>6</v>
      </c>
    </row>
    <row r="69" customFormat="false" ht="15" hidden="false" customHeight="true" outlineLevel="0" collapsed="false">
      <c r="A69" s="20" t="s">
        <v>117</v>
      </c>
      <c r="B69" s="21" t="n">
        <v>45728</v>
      </c>
      <c r="C69" s="17" t="str">
        <f aca="false">TEXT(B69,"mmm")</f>
        <v>Mar</v>
      </c>
      <c r="D69" s="20" t="s">
        <v>56</v>
      </c>
      <c r="E69" s="20" t="s">
        <v>40</v>
      </c>
      <c r="F69" s="20" t="s">
        <v>62</v>
      </c>
      <c r="G69" s="22" t="n">
        <v>3956.67</v>
      </c>
      <c r="H69" s="22" t="n">
        <v>4365.04</v>
      </c>
      <c r="I69" s="23" t="n">
        <f aca="false">H69-G69</f>
        <v>408.37</v>
      </c>
      <c r="J69" s="20" t="s">
        <v>23</v>
      </c>
      <c r="K69" s="20" t="n">
        <v>27</v>
      </c>
    </row>
    <row r="70" customFormat="false" ht="15" hidden="false" customHeight="true" outlineLevel="0" collapsed="false">
      <c r="A70" s="20" t="s">
        <v>118</v>
      </c>
      <c r="B70" s="21" t="n">
        <v>45827</v>
      </c>
      <c r="C70" s="17" t="str">
        <f aca="false">TEXT(B70,"mmm")</f>
        <v>Jun</v>
      </c>
      <c r="D70" s="20" t="s">
        <v>37</v>
      </c>
      <c r="E70" s="20" t="s">
        <v>51</v>
      </c>
      <c r="F70" s="20" t="s">
        <v>38</v>
      </c>
      <c r="G70" s="22" t="n">
        <v>7100.25</v>
      </c>
      <c r="H70" s="22" t="n">
        <v>6816.75</v>
      </c>
      <c r="I70" s="23" t="n">
        <f aca="false">H70-G70</f>
        <v>-283.5</v>
      </c>
      <c r="J70" s="20" t="s">
        <v>25</v>
      </c>
      <c r="K70" s="20" t="n">
        <v>38</v>
      </c>
    </row>
    <row r="71" customFormat="false" ht="15" hidden="false" customHeight="true" outlineLevel="0" collapsed="false">
      <c r="A71" s="20" t="s">
        <v>119</v>
      </c>
      <c r="B71" s="21" t="n">
        <v>46014</v>
      </c>
      <c r="C71" s="17" t="str">
        <f aca="false">TEXT(B71,"mmm")</f>
        <v>Dec</v>
      </c>
      <c r="D71" s="20" t="s">
        <v>33</v>
      </c>
      <c r="E71" s="20" t="s">
        <v>53</v>
      </c>
      <c r="F71" s="20" t="s">
        <v>62</v>
      </c>
      <c r="G71" s="22" t="n">
        <v>4014.11</v>
      </c>
      <c r="H71" s="22" t="n">
        <v>4902.72</v>
      </c>
      <c r="I71" s="23" t="n">
        <f aca="false">H71-G71</f>
        <v>888.61</v>
      </c>
      <c r="J71" s="20" t="s">
        <v>23</v>
      </c>
      <c r="K71" s="20" t="n">
        <v>25</v>
      </c>
    </row>
    <row r="72" customFormat="false" ht="15" hidden="false" customHeight="true" outlineLevel="0" collapsed="false">
      <c r="A72" s="20" t="s">
        <v>120</v>
      </c>
      <c r="B72" s="21" t="n">
        <v>45872</v>
      </c>
      <c r="C72" s="17" t="str">
        <f aca="false">TEXT(B72,"mmm")</f>
        <v>Aug</v>
      </c>
      <c r="D72" s="20" t="s">
        <v>56</v>
      </c>
      <c r="E72" s="20" t="s">
        <v>51</v>
      </c>
      <c r="F72" s="20" t="s">
        <v>48</v>
      </c>
      <c r="G72" s="22" t="n">
        <v>317.89</v>
      </c>
      <c r="H72" s="22" t="n">
        <v>315.61</v>
      </c>
      <c r="I72" s="23" t="n">
        <f aca="false">H72-G72</f>
        <v>-2.27999999999997</v>
      </c>
      <c r="J72" s="20" t="s">
        <v>23</v>
      </c>
      <c r="K72" s="20" t="n">
        <v>43</v>
      </c>
    </row>
    <row r="73" customFormat="false" ht="15" hidden="false" customHeight="true" outlineLevel="0" collapsed="false">
      <c r="A73" s="20" t="s">
        <v>121</v>
      </c>
      <c r="B73" s="21" t="n">
        <v>46005</v>
      </c>
      <c r="C73" s="17" t="str">
        <f aca="false">TEXT(B73,"mmm")</f>
        <v>Dec</v>
      </c>
      <c r="D73" s="20" t="s">
        <v>37</v>
      </c>
      <c r="E73" s="20" t="s">
        <v>57</v>
      </c>
      <c r="F73" s="20" t="s">
        <v>54</v>
      </c>
      <c r="G73" s="22" t="n">
        <v>945.69</v>
      </c>
      <c r="H73" s="22" t="n">
        <v>1144.07</v>
      </c>
      <c r="I73" s="23" t="n">
        <f aca="false">H73-G73</f>
        <v>198.38</v>
      </c>
      <c r="J73" s="20" t="s">
        <v>25</v>
      </c>
      <c r="K73" s="20" t="n">
        <v>35</v>
      </c>
    </row>
    <row r="74" customFormat="false" ht="15" hidden="false" customHeight="true" outlineLevel="0" collapsed="false">
      <c r="A74" s="20" t="s">
        <v>122</v>
      </c>
      <c r="B74" s="21" t="n">
        <v>45671</v>
      </c>
      <c r="C74" s="17" t="str">
        <f aca="false">TEXT(B74,"mmm")</f>
        <v>Jan</v>
      </c>
      <c r="D74" s="20" t="s">
        <v>37</v>
      </c>
      <c r="E74" s="20" t="s">
        <v>53</v>
      </c>
      <c r="F74" s="20" t="s">
        <v>38</v>
      </c>
      <c r="G74" s="22" t="n">
        <v>6745.11</v>
      </c>
      <c r="H74" s="22" t="n">
        <v>6504.35</v>
      </c>
      <c r="I74" s="23" t="n">
        <f aca="false">H74-G74</f>
        <v>-240.759999999999</v>
      </c>
      <c r="J74" s="20" t="s">
        <v>24</v>
      </c>
      <c r="K74" s="20" t="n">
        <v>12</v>
      </c>
    </row>
    <row r="75" customFormat="false" ht="15" hidden="false" customHeight="true" outlineLevel="0" collapsed="false">
      <c r="A75" s="20" t="s">
        <v>123</v>
      </c>
      <c r="B75" s="21" t="n">
        <v>45683</v>
      </c>
      <c r="C75" s="17" t="str">
        <f aca="false">TEXT(B75,"mmm")</f>
        <v>Jan</v>
      </c>
      <c r="D75" s="20" t="s">
        <v>50</v>
      </c>
      <c r="E75" s="20" t="s">
        <v>51</v>
      </c>
      <c r="F75" s="20" t="s">
        <v>45</v>
      </c>
      <c r="G75" s="22" t="n">
        <v>608.03</v>
      </c>
      <c r="H75" s="22" t="n">
        <v>555.39</v>
      </c>
      <c r="I75" s="23" t="n">
        <f aca="false">H75-G75</f>
        <v>-52.64</v>
      </c>
      <c r="J75" s="20" t="s">
        <v>24</v>
      </c>
      <c r="K75" s="20" t="n">
        <v>25</v>
      </c>
    </row>
    <row r="76" customFormat="false" ht="15" hidden="false" customHeight="true" outlineLevel="0" collapsed="false">
      <c r="A76" s="20" t="s">
        <v>124</v>
      </c>
      <c r="B76" s="21" t="n">
        <v>45800</v>
      </c>
      <c r="C76" s="17" t="str">
        <f aca="false">TEXT(B76,"mmm")</f>
        <v>May</v>
      </c>
      <c r="D76" s="20" t="s">
        <v>37</v>
      </c>
      <c r="E76" s="20" t="s">
        <v>43</v>
      </c>
      <c r="F76" s="20" t="s">
        <v>59</v>
      </c>
      <c r="G76" s="22" t="n">
        <v>1109.89</v>
      </c>
      <c r="H76" s="22" t="n">
        <v>1248.08</v>
      </c>
      <c r="I76" s="23" t="n">
        <f aca="false">H76-G76</f>
        <v>138.19</v>
      </c>
      <c r="J76" s="20" t="s">
        <v>23</v>
      </c>
      <c r="K76" s="20" t="n">
        <v>23</v>
      </c>
    </row>
    <row r="77" customFormat="false" ht="15" hidden="false" customHeight="true" outlineLevel="0" collapsed="false">
      <c r="A77" s="20" t="s">
        <v>125</v>
      </c>
      <c r="B77" s="21" t="n">
        <v>45772</v>
      </c>
      <c r="C77" s="17" t="str">
        <f aca="false">TEXT(B77,"mmm")</f>
        <v>Apr</v>
      </c>
      <c r="D77" s="20" t="s">
        <v>33</v>
      </c>
      <c r="E77" s="20" t="s">
        <v>57</v>
      </c>
      <c r="F77" s="20" t="s">
        <v>38</v>
      </c>
      <c r="G77" s="22" t="n">
        <v>11746.55</v>
      </c>
      <c r="H77" s="22" t="n">
        <v>14387.24</v>
      </c>
      <c r="I77" s="23" t="n">
        <f aca="false">H77-G77</f>
        <v>2640.69</v>
      </c>
      <c r="J77" s="20" t="s">
        <v>23</v>
      </c>
      <c r="K77" s="20" t="n">
        <v>2</v>
      </c>
    </row>
    <row r="78" customFormat="false" ht="15" hidden="false" customHeight="true" outlineLevel="0" collapsed="false">
      <c r="A78" s="20" t="s">
        <v>126</v>
      </c>
      <c r="B78" s="21" t="n">
        <v>45976</v>
      </c>
      <c r="C78" s="17" t="str">
        <f aca="false">TEXT(B78,"mmm")</f>
        <v>Nov</v>
      </c>
      <c r="D78" s="20" t="s">
        <v>56</v>
      </c>
      <c r="E78" s="20" t="s">
        <v>40</v>
      </c>
      <c r="F78" s="20" t="s">
        <v>54</v>
      </c>
      <c r="G78" s="22" t="n">
        <v>1029.51</v>
      </c>
      <c r="H78" s="22" t="n">
        <v>831.02</v>
      </c>
      <c r="I78" s="23" t="n">
        <f aca="false">H78-G78</f>
        <v>-198.49</v>
      </c>
      <c r="J78" s="20" t="s">
        <v>25</v>
      </c>
      <c r="K78" s="20" t="n">
        <v>30</v>
      </c>
    </row>
    <row r="79" customFormat="false" ht="15" hidden="false" customHeight="true" outlineLevel="0" collapsed="false">
      <c r="A79" s="20" t="s">
        <v>127</v>
      </c>
      <c r="B79" s="21" t="n">
        <v>46016</v>
      </c>
      <c r="C79" s="17" t="str">
        <f aca="false">TEXT(B79,"mmm")</f>
        <v>Dec</v>
      </c>
      <c r="D79" s="20" t="s">
        <v>50</v>
      </c>
      <c r="E79" s="20" t="s">
        <v>43</v>
      </c>
      <c r="F79" s="20" t="s">
        <v>54</v>
      </c>
      <c r="G79" s="22" t="n">
        <v>976.72</v>
      </c>
      <c r="H79" s="22" t="n">
        <v>1203.19</v>
      </c>
      <c r="I79" s="23" t="n">
        <f aca="false">H79-G79</f>
        <v>226.47</v>
      </c>
      <c r="J79" s="20" t="s">
        <v>24</v>
      </c>
      <c r="K79" s="20" t="n">
        <v>11</v>
      </c>
    </row>
    <row r="80" customFormat="false" ht="15" hidden="false" customHeight="true" outlineLevel="0" collapsed="false">
      <c r="A80" s="20" t="s">
        <v>128</v>
      </c>
      <c r="B80" s="21" t="n">
        <v>45817</v>
      </c>
      <c r="C80" s="17" t="str">
        <f aca="false">TEXT(B80,"mmm")</f>
        <v>Jun</v>
      </c>
      <c r="D80" s="20" t="s">
        <v>33</v>
      </c>
      <c r="E80" s="20" t="s">
        <v>53</v>
      </c>
      <c r="F80" s="20" t="s">
        <v>38</v>
      </c>
      <c r="G80" s="22" t="n">
        <v>12429.45</v>
      </c>
      <c r="H80" s="22" t="n">
        <v>12900.51</v>
      </c>
      <c r="I80" s="23" t="n">
        <f aca="false">H80-G80</f>
        <v>471.06</v>
      </c>
      <c r="J80" s="20" t="s">
        <v>25</v>
      </c>
      <c r="K80" s="20" t="n">
        <v>25</v>
      </c>
    </row>
    <row r="81" customFormat="false" ht="15" hidden="false" customHeight="true" outlineLevel="0" collapsed="false">
      <c r="A81" s="20" t="s">
        <v>129</v>
      </c>
      <c r="B81" s="21" t="n">
        <v>45861</v>
      </c>
      <c r="C81" s="17" t="str">
        <f aca="false">TEXT(B81,"mmm")</f>
        <v>Jul</v>
      </c>
      <c r="D81" s="20" t="s">
        <v>56</v>
      </c>
      <c r="E81" s="20" t="s">
        <v>34</v>
      </c>
      <c r="F81" s="20" t="s">
        <v>48</v>
      </c>
      <c r="G81" s="22" t="n">
        <v>296.34</v>
      </c>
      <c r="H81" s="22" t="n">
        <v>336.71</v>
      </c>
      <c r="I81" s="23" t="n">
        <f aca="false">H81-G81</f>
        <v>40.37</v>
      </c>
      <c r="J81" s="20" t="s">
        <v>24</v>
      </c>
      <c r="K81" s="20" t="n">
        <v>39</v>
      </c>
    </row>
    <row r="82" customFormat="false" ht="15" hidden="false" customHeight="true" outlineLevel="0" collapsed="false">
      <c r="A82" s="20" t="s">
        <v>130</v>
      </c>
      <c r="B82" s="21" t="n">
        <v>45719</v>
      </c>
      <c r="C82" s="17" t="str">
        <f aca="false">TEXT(B82,"mmm")</f>
        <v>Mar</v>
      </c>
      <c r="D82" s="20" t="s">
        <v>33</v>
      </c>
      <c r="E82" s="20" t="s">
        <v>43</v>
      </c>
      <c r="F82" s="20" t="s">
        <v>62</v>
      </c>
      <c r="G82" s="22" t="n">
        <v>4285.76</v>
      </c>
      <c r="H82" s="22" t="n">
        <v>3362.09</v>
      </c>
      <c r="I82" s="23" t="n">
        <f aca="false">H82-G82</f>
        <v>-923.67</v>
      </c>
      <c r="J82" s="20" t="s">
        <v>23</v>
      </c>
      <c r="K82" s="20" t="n">
        <v>1</v>
      </c>
    </row>
    <row r="83" customFormat="false" ht="15" hidden="false" customHeight="true" outlineLevel="0" collapsed="false">
      <c r="A83" s="20" t="s">
        <v>131</v>
      </c>
      <c r="B83" s="21" t="n">
        <v>45873</v>
      </c>
      <c r="C83" s="17" t="str">
        <f aca="false">TEXT(B83,"mmm")</f>
        <v>Aug</v>
      </c>
      <c r="D83" s="20" t="s">
        <v>37</v>
      </c>
      <c r="E83" s="20" t="s">
        <v>34</v>
      </c>
      <c r="F83" s="20" t="s">
        <v>62</v>
      </c>
      <c r="G83" s="22" t="n">
        <v>3493.34</v>
      </c>
      <c r="H83" s="22" t="n">
        <v>3730.16</v>
      </c>
      <c r="I83" s="23" t="n">
        <f aca="false">H83-G83</f>
        <v>236.82</v>
      </c>
      <c r="J83" s="20" t="s">
        <v>24</v>
      </c>
      <c r="K83" s="20" t="n">
        <v>10</v>
      </c>
    </row>
    <row r="84" customFormat="false" ht="15" hidden="false" customHeight="true" outlineLevel="0" collapsed="false">
      <c r="A84" s="20" t="s">
        <v>132</v>
      </c>
      <c r="B84" s="21" t="n">
        <v>45880</v>
      </c>
      <c r="C84" s="17" t="str">
        <f aca="false">TEXT(B84,"mmm")</f>
        <v>Aug</v>
      </c>
      <c r="D84" s="20" t="s">
        <v>56</v>
      </c>
      <c r="E84" s="20" t="s">
        <v>57</v>
      </c>
      <c r="F84" s="20" t="s">
        <v>35</v>
      </c>
      <c r="G84" s="22" t="n">
        <v>3009.21</v>
      </c>
      <c r="H84" s="22" t="n">
        <v>3640.57</v>
      </c>
      <c r="I84" s="23" t="n">
        <f aca="false">H84-G84</f>
        <v>631.36</v>
      </c>
      <c r="J84" s="20" t="s">
        <v>24</v>
      </c>
      <c r="K84" s="20" t="n">
        <v>30</v>
      </c>
    </row>
    <row r="85" customFormat="false" ht="15" hidden="false" customHeight="true" outlineLevel="0" collapsed="false">
      <c r="A85" s="20" t="s">
        <v>133</v>
      </c>
      <c r="B85" s="21" t="n">
        <v>45881</v>
      </c>
      <c r="C85" s="17" t="str">
        <f aca="false">TEXT(B85,"mmm")</f>
        <v>Aug</v>
      </c>
      <c r="D85" s="20" t="s">
        <v>50</v>
      </c>
      <c r="E85" s="20" t="s">
        <v>43</v>
      </c>
      <c r="F85" s="20" t="s">
        <v>48</v>
      </c>
      <c r="G85" s="22" t="n">
        <v>351.2</v>
      </c>
      <c r="H85" s="22" t="n">
        <v>278.62</v>
      </c>
      <c r="I85" s="23" t="n">
        <f aca="false">H85-G85</f>
        <v>-72.58</v>
      </c>
      <c r="J85" s="20" t="s">
        <v>24</v>
      </c>
      <c r="K85" s="20" t="n">
        <v>16</v>
      </c>
    </row>
    <row r="86" customFormat="false" ht="15" hidden="false" customHeight="true" outlineLevel="0" collapsed="false">
      <c r="A86" s="20" t="s">
        <v>134</v>
      </c>
      <c r="B86" s="21" t="n">
        <v>45895</v>
      </c>
      <c r="C86" s="17" t="str">
        <f aca="false">TEXT(B86,"mmm")</f>
        <v>Aug</v>
      </c>
      <c r="D86" s="20" t="s">
        <v>37</v>
      </c>
      <c r="E86" s="20" t="s">
        <v>43</v>
      </c>
      <c r="F86" s="20" t="s">
        <v>38</v>
      </c>
      <c r="G86" s="22" t="n">
        <v>7931.05</v>
      </c>
      <c r="H86" s="22" t="n">
        <v>7237.14</v>
      </c>
      <c r="I86" s="23" t="n">
        <f aca="false">H86-G86</f>
        <v>-693.91</v>
      </c>
      <c r="J86" s="20" t="s">
        <v>23</v>
      </c>
      <c r="K86" s="20" t="n">
        <v>23</v>
      </c>
    </row>
    <row r="87" customFormat="false" ht="15" hidden="false" customHeight="true" outlineLevel="0" collapsed="false">
      <c r="A87" s="20" t="s">
        <v>135</v>
      </c>
      <c r="B87" s="21" t="n">
        <v>45790</v>
      </c>
      <c r="C87" s="17" t="str">
        <f aca="false">TEXT(B87,"mmm")</f>
        <v>May</v>
      </c>
      <c r="D87" s="20" t="s">
        <v>50</v>
      </c>
      <c r="E87" s="20" t="s">
        <v>43</v>
      </c>
      <c r="F87" s="20" t="s">
        <v>35</v>
      </c>
      <c r="G87" s="22" t="n">
        <v>2665.5</v>
      </c>
      <c r="H87" s="22" t="n">
        <v>2687.66</v>
      </c>
      <c r="I87" s="23" t="n">
        <f aca="false">H87-G87</f>
        <v>22.1599999999999</v>
      </c>
      <c r="J87" s="20" t="s">
        <v>23</v>
      </c>
      <c r="K87" s="20" t="n">
        <v>16</v>
      </c>
    </row>
    <row r="88" customFormat="false" ht="15" hidden="false" customHeight="true" outlineLevel="0" collapsed="false">
      <c r="A88" s="20" t="s">
        <v>136</v>
      </c>
      <c r="B88" s="21" t="n">
        <v>45866</v>
      </c>
      <c r="C88" s="17" t="str">
        <f aca="false">TEXT(B88,"mmm")</f>
        <v>Jul</v>
      </c>
      <c r="D88" s="20" t="s">
        <v>37</v>
      </c>
      <c r="E88" s="20" t="s">
        <v>53</v>
      </c>
      <c r="F88" s="20" t="s">
        <v>48</v>
      </c>
      <c r="G88" s="22" t="n">
        <v>299.94</v>
      </c>
      <c r="H88" s="22" t="n">
        <v>321.82</v>
      </c>
      <c r="I88" s="23" t="n">
        <f aca="false">H88-G88</f>
        <v>21.88</v>
      </c>
      <c r="J88" s="20" t="s">
        <v>23</v>
      </c>
      <c r="K88" s="20" t="n">
        <v>2</v>
      </c>
    </row>
    <row r="89" customFormat="false" ht="15" hidden="false" customHeight="true" outlineLevel="0" collapsed="false">
      <c r="A89" s="20" t="s">
        <v>137</v>
      </c>
      <c r="B89" s="21" t="n">
        <v>45705</v>
      </c>
      <c r="C89" s="17" t="str">
        <f aca="false">TEXT(B89,"mmm")</f>
        <v>Feb</v>
      </c>
      <c r="D89" s="20" t="s">
        <v>50</v>
      </c>
      <c r="E89" s="20" t="s">
        <v>40</v>
      </c>
      <c r="F89" s="20" t="s">
        <v>62</v>
      </c>
      <c r="G89" s="22" t="n">
        <v>3577.21</v>
      </c>
      <c r="H89" s="22" t="n">
        <v>3230.59</v>
      </c>
      <c r="I89" s="23" t="n">
        <f aca="false">H89-G89</f>
        <v>-346.62</v>
      </c>
      <c r="J89" s="20" t="s">
        <v>23</v>
      </c>
      <c r="K89" s="20" t="n">
        <v>31</v>
      </c>
    </row>
    <row r="90" customFormat="false" ht="15" hidden="false" customHeight="true" outlineLevel="0" collapsed="false">
      <c r="A90" s="20" t="s">
        <v>138</v>
      </c>
      <c r="B90" s="21" t="n">
        <v>45941</v>
      </c>
      <c r="C90" s="17" t="str">
        <f aca="false">TEXT(B90,"mmm")</f>
        <v>Oct</v>
      </c>
      <c r="D90" s="20" t="s">
        <v>50</v>
      </c>
      <c r="E90" s="20" t="s">
        <v>51</v>
      </c>
      <c r="F90" s="20" t="s">
        <v>45</v>
      </c>
      <c r="G90" s="22" t="n">
        <v>642.65</v>
      </c>
      <c r="H90" s="22" t="n">
        <v>627.79</v>
      </c>
      <c r="I90" s="23" t="n">
        <f aca="false">H90-G90</f>
        <v>-14.86</v>
      </c>
      <c r="J90" s="20" t="s">
        <v>23</v>
      </c>
      <c r="K90" s="20" t="n">
        <v>15</v>
      </c>
    </row>
    <row r="91" customFormat="false" ht="15" hidden="false" customHeight="true" outlineLevel="0" collapsed="false">
      <c r="A91" s="20" t="s">
        <v>139</v>
      </c>
      <c r="B91" s="21" t="n">
        <v>45719</v>
      </c>
      <c r="C91" s="17" t="str">
        <f aca="false">TEXT(B91,"mmm")</f>
        <v>Mar</v>
      </c>
      <c r="D91" s="20" t="s">
        <v>56</v>
      </c>
      <c r="E91" s="20" t="s">
        <v>43</v>
      </c>
      <c r="F91" s="20" t="s">
        <v>59</v>
      </c>
      <c r="G91" s="22" t="n">
        <v>1508.41</v>
      </c>
      <c r="H91" s="22" t="n">
        <v>1848.46</v>
      </c>
      <c r="I91" s="23" t="n">
        <f aca="false">H91-G91</f>
        <v>340.05</v>
      </c>
      <c r="J91" s="20" t="s">
        <v>23</v>
      </c>
      <c r="K91" s="20" t="n">
        <v>13</v>
      </c>
    </row>
    <row r="92" customFormat="false" ht="15" hidden="false" customHeight="true" outlineLevel="0" collapsed="false">
      <c r="A92" s="20" t="s">
        <v>140</v>
      </c>
      <c r="B92" s="21" t="n">
        <v>45768</v>
      </c>
      <c r="C92" s="17" t="str">
        <f aca="false">TEXT(B92,"mmm")</f>
        <v>Apr</v>
      </c>
      <c r="D92" s="20" t="s">
        <v>37</v>
      </c>
      <c r="E92" s="20" t="s">
        <v>43</v>
      </c>
      <c r="F92" s="20" t="s">
        <v>35</v>
      </c>
      <c r="G92" s="22" t="n">
        <v>2745.93</v>
      </c>
      <c r="H92" s="22" t="n">
        <v>3202.62</v>
      </c>
      <c r="I92" s="23" t="n">
        <f aca="false">H92-G92</f>
        <v>456.69</v>
      </c>
      <c r="J92" s="20" t="s">
        <v>23</v>
      </c>
      <c r="K92" s="20" t="n">
        <v>24</v>
      </c>
    </row>
    <row r="93" customFormat="false" ht="15" hidden="false" customHeight="true" outlineLevel="0" collapsed="false">
      <c r="A93" s="20" t="s">
        <v>141</v>
      </c>
      <c r="B93" s="21" t="n">
        <v>45749</v>
      </c>
      <c r="C93" s="17" t="str">
        <f aca="false">TEXT(B93,"mmm")</f>
        <v>Apr</v>
      </c>
      <c r="D93" s="20" t="s">
        <v>50</v>
      </c>
      <c r="E93" s="20" t="s">
        <v>34</v>
      </c>
      <c r="F93" s="20" t="s">
        <v>54</v>
      </c>
      <c r="G93" s="22" t="n">
        <v>863.31</v>
      </c>
      <c r="H93" s="22" t="n">
        <v>1068.04</v>
      </c>
      <c r="I93" s="23" t="n">
        <f aca="false">H93-G93</f>
        <v>204.73</v>
      </c>
      <c r="J93" s="20" t="s">
        <v>23</v>
      </c>
      <c r="K93" s="20" t="n">
        <v>45</v>
      </c>
    </row>
    <row r="94" customFormat="false" ht="15" hidden="false" customHeight="true" outlineLevel="0" collapsed="false">
      <c r="A94" s="20" t="s">
        <v>142</v>
      </c>
      <c r="B94" s="21" t="n">
        <v>45722</v>
      </c>
      <c r="C94" s="17" t="str">
        <f aca="false">TEXT(B94,"mmm")</f>
        <v>Mar</v>
      </c>
      <c r="D94" s="20" t="s">
        <v>37</v>
      </c>
      <c r="E94" s="20" t="s">
        <v>34</v>
      </c>
      <c r="F94" s="20" t="s">
        <v>38</v>
      </c>
      <c r="G94" s="22" t="n">
        <v>8161.55</v>
      </c>
      <c r="H94" s="22" t="n">
        <v>8036.67</v>
      </c>
      <c r="I94" s="23" t="n">
        <f aca="false">H94-G94</f>
        <v>-124.88</v>
      </c>
      <c r="J94" s="20" t="s">
        <v>23</v>
      </c>
      <c r="K94" s="20" t="n">
        <v>12</v>
      </c>
    </row>
    <row r="95" customFormat="false" ht="15" hidden="false" customHeight="true" outlineLevel="0" collapsed="false">
      <c r="A95" s="20" t="s">
        <v>143</v>
      </c>
      <c r="B95" s="21" t="n">
        <v>45684</v>
      </c>
      <c r="C95" s="17" t="str">
        <f aca="false">TEXT(B95,"mmm")</f>
        <v>Jan</v>
      </c>
      <c r="D95" s="20" t="s">
        <v>50</v>
      </c>
      <c r="E95" s="20" t="s">
        <v>51</v>
      </c>
      <c r="F95" s="20" t="s">
        <v>59</v>
      </c>
      <c r="G95" s="22" t="n">
        <v>1400.88</v>
      </c>
      <c r="H95" s="22" t="n">
        <v>1331.33</v>
      </c>
      <c r="I95" s="23" t="n">
        <f aca="false">H95-G95</f>
        <v>-69.5500000000002</v>
      </c>
      <c r="J95" s="20" t="s">
        <v>23</v>
      </c>
      <c r="K95" s="20" t="n">
        <v>41</v>
      </c>
    </row>
    <row r="96" customFormat="false" ht="15" hidden="false" customHeight="true" outlineLevel="0" collapsed="false">
      <c r="A96" s="20" t="s">
        <v>144</v>
      </c>
      <c r="B96" s="21" t="n">
        <v>46009</v>
      </c>
      <c r="C96" s="17" t="str">
        <f aca="false">TEXT(B96,"mmm")</f>
        <v>Dec</v>
      </c>
      <c r="D96" s="20" t="s">
        <v>33</v>
      </c>
      <c r="E96" s="20" t="s">
        <v>40</v>
      </c>
      <c r="F96" s="20" t="s">
        <v>54</v>
      </c>
      <c r="G96" s="22" t="n">
        <v>1267.31</v>
      </c>
      <c r="H96" s="22" t="n">
        <v>1551.9</v>
      </c>
      <c r="I96" s="23" t="n">
        <f aca="false">H96-G96</f>
        <v>284.59</v>
      </c>
      <c r="J96" s="20" t="s">
        <v>23</v>
      </c>
      <c r="K96" s="20" t="n">
        <v>16</v>
      </c>
    </row>
    <row r="97" customFormat="false" ht="15" hidden="false" customHeight="true" outlineLevel="0" collapsed="false">
      <c r="A97" s="20" t="s">
        <v>145</v>
      </c>
      <c r="B97" s="21" t="n">
        <v>45718</v>
      </c>
      <c r="C97" s="17" t="str">
        <f aca="false">TEXT(B97,"mmm")</f>
        <v>Mar</v>
      </c>
      <c r="D97" s="20" t="s">
        <v>37</v>
      </c>
      <c r="E97" s="20" t="s">
        <v>53</v>
      </c>
      <c r="F97" s="20" t="s">
        <v>48</v>
      </c>
      <c r="G97" s="22" t="n">
        <v>308.62</v>
      </c>
      <c r="H97" s="22" t="n">
        <v>290.16</v>
      </c>
      <c r="I97" s="23" t="n">
        <f aca="false">H97-G97</f>
        <v>-18.46</v>
      </c>
      <c r="J97" s="20" t="s">
        <v>25</v>
      </c>
      <c r="K97" s="20" t="n">
        <v>20</v>
      </c>
    </row>
    <row r="98" customFormat="false" ht="15" hidden="false" customHeight="true" outlineLevel="0" collapsed="false">
      <c r="A98" s="20" t="s">
        <v>146</v>
      </c>
      <c r="B98" s="21" t="n">
        <v>45959</v>
      </c>
      <c r="C98" s="17" t="str">
        <f aca="false">TEXT(B98,"mmm")</f>
        <v>Oct</v>
      </c>
      <c r="D98" s="20" t="s">
        <v>37</v>
      </c>
      <c r="E98" s="20" t="s">
        <v>43</v>
      </c>
      <c r="F98" s="20" t="s">
        <v>38</v>
      </c>
      <c r="G98" s="22" t="n">
        <v>8264.33</v>
      </c>
      <c r="H98" s="22" t="n">
        <v>9256.42</v>
      </c>
      <c r="I98" s="23" t="n">
        <f aca="false">H98-G98</f>
        <v>992.09</v>
      </c>
      <c r="J98" s="20" t="s">
        <v>25</v>
      </c>
      <c r="K98" s="20" t="n">
        <v>14</v>
      </c>
    </row>
    <row r="99" customFormat="false" ht="15" hidden="false" customHeight="true" outlineLevel="0" collapsed="false">
      <c r="A99" s="20" t="s">
        <v>147</v>
      </c>
      <c r="B99" s="21" t="n">
        <v>45978</v>
      </c>
      <c r="C99" s="17" t="str">
        <f aca="false">TEXT(B99,"mmm")</f>
        <v>Nov</v>
      </c>
      <c r="D99" s="20" t="s">
        <v>56</v>
      </c>
      <c r="E99" s="20" t="s">
        <v>43</v>
      </c>
      <c r="F99" s="20" t="s">
        <v>59</v>
      </c>
      <c r="G99" s="22" t="n">
        <v>1213.16</v>
      </c>
      <c r="H99" s="22" t="n">
        <v>1015.3</v>
      </c>
      <c r="I99" s="23" t="n">
        <f aca="false">H99-G99</f>
        <v>-197.86</v>
      </c>
      <c r="J99" s="20" t="s">
        <v>23</v>
      </c>
      <c r="K99" s="20" t="n">
        <v>1</v>
      </c>
    </row>
    <row r="100" customFormat="false" ht="15" hidden="false" customHeight="true" outlineLevel="0" collapsed="false">
      <c r="A100" s="20" t="s">
        <v>148</v>
      </c>
      <c r="B100" s="21" t="n">
        <v>45867</v>
      </c>
      <c r="C100" s="17" t="str">
        <f aca="false">TEXT(B100,"mmm")</f>
        <v>Jul</v>
      </c>
      <c r="D100" s="20" t="s">
        <v>37</v>
      </c>
      <c r="E100" s="20" t="s">
        <v>57</v>
      </c>
      <c r="F100" s="20" t="s">
        <v>41</v>
      </c>
      <c r="G100" s="22" t="n">
        <v>604.82</v>
      </c>
      <c r="H100" s="22" t="n">
        <v>523.62</v>
      </c>
      <c r="I100" s="23" t="n">
        <f aca="false">H100-G100</f>
        <v>-81.2000000000001</v>
      </c>
      <c r="J100" s="20" t="s">
        <v>24</v>
      </c>
      <c r="K100" s="20" t="n">
        <v>45</v>
      </c>
    </row>
    <row r="101" customFormat="false" ht="15" hidden="false" customHeight="true" outlineLevel="0" collapsed="false">
      <c r="A101" s="20" t="s">
        <v>149</v>
      </c>
      <c r="B101" s="21" t="n">
        <v>45890</v>
      </c>
      <c r="C101" s="17" t="str">
        <f aca="false">TEXT(B101,"mmm")</f>
        <v>Aug</v>
      </c>
      <c r="D101" s="20" t="s">
        <v>33</v>
      </c>
      <c r="E101" s="20" t="s">
        <v>57</v>
      </c>
      <c r="F101" s="20" t="s">
        <v>48</v>
      </c>
      <c r="G101" s="22" t="n">
        <v>438</v>
      </c>
      <c r="H101" s="22" t="n">
        <v>501.03</v>
      </c>
      <c r="I101" s="23" t="n">
        <f aca="false">H101-G101</f>
        <v>63.03</v>
      </c>
      <c r="J101" s="20" t="s">
        <v>23</v>
      </c>
      <c r="K101" s="20" t="n">
        <v>43</v>
      </c>
    </row>
    <row r="102" customFormat="false" ht="15" hidden="false" customHeight="true" outlineLevel="0" collapsed="false">
      <c r="A102" s="20" t="s">
        <v>150</v>
      </c>
      <c r="B102" s="21" t="n">
        <v>45759</v>
      </c>
      <c r="C102" s="17" t="str">
        <f aca="false">TEXT(B102,"mmm")</f>
        <v>Apr</v>
      </c>
      <c r="D102" s="20" t="s">
        <v>37</v>
      </c>
      <c r="E102" s="20" t="s">
        <v>34</v>
      </c>
      <c r="F102" s="20" t="s">
        <v>48</v>
      </c>
      <c r="G102" s="22" t="n">
        <v>295.56</v>
      </c>
      <c r="H102" s="22" t="n">
        <v>355.92</v>
      </c>
      <c r="I102" s="23" t="n">
        <f aca="false">H102-G102</f>
        <v>60.36</v>
      </c>
      <c r="J102" s="20" t="s">
        <v>24</v>
      </c>
      <c r="K102" s="20" t="n">
        <v>5</v>
      </c>
    </row>
    <row r="103" customFormat="false" ht="15" hidden="false" customHeight="true" outlineLevel="0" collapsed="false">
      <c r="A103" s="20" t="s">
        <v>151</v>
      </c>
      <c r="B103" s="21" t="n">
        <v>45688</v>
      </c>
      <c r="C103" s="17" t="str">
        <f aca="false">TEXT(B103,"mmm")</f>
        <v>Jan</v>
      </c>
      <c r="D103" s="20" t="s">
        <v>56</v>
      </c>
      <c r="E103" s="20" t="s">
        <v>43</v>
      </c>
      <c r="F103" s="20" t="s">
        <v>35</v>
      </c>
      <c r="G103" s="22" t="n">
        <v>2823.61</v>
      </c>
      <c r="H103" s="22" t="n">
        <v>2779.42</v>
      </c>
      <c r="I103" s="23" t="n">
        <f aca="false">H103-G103</f>
        <v>-44.1900000000001</v>
      </c>
      <c r="J103" s="20" t="s">
        <v>23</v>
      </c>
      <c r="K103" s="20" t="n">
        <v>26</v>
      </c>
    </row>
    <row r="104" customFormat="false" ht="15" hidden="false" customHeight="true" outlineLevel="0" collapsed="false">
      <c r="A104" s="20" t="s">
        <v>152</v>
      </c>
      <c r="B104" s="21" t="n">
        <v>45797</v>
      </c>
      <c r="C104" s="17" t="str">
        <f aca="false">TEXT(B104,"mmm")</f>
        <v>May</v>
      </c>
      <c r="D104" s="20" t="s">
        <v>37</v>
      </c>
      <c r="E104" s="20" t="s">
        <v>51</v>
      </c>
      <c r="F104" s="20" t="s">
        <v>59</v>
      </c>
      <c r="G104" s="22" t="n">
        <v>1162</v>
      </c>
      <c r="H104" s="22" t="n">
        <v>1388.25</v>
      </c>
      <c r="I104" s="23" t="n">
        <f aca="false">H104-G104</f>
        <v>226.25</v>
      </c>
      <c r="J104" s="20" t="s">
        <v>24</v>
      </c>
      <c r="K104" s="20" t="n">
        <v>39</v>
      </c>
    </row>
    <row r="105" customFormat="false" ht="15" hidden="false" customHeight="true" outlineLevel="0" collapsed="false">
      <c r="A105" s="20" t="s">
        <v>153</v>
      </c>
      <c r="B105" s="21" t="n">
        <v>45786</v>
      </c>
      <c r="C105" s="17" t="str">
        <f aca="false">TEXT(B105,"mmm")</f>
        <v>May</v>
      </c>
      <c r="D105" s="20" t="s">
        <v>33</v>
      </c>
      <c r="E105" s="20" t="s">
        <v>34</v>
      </c>
      <c r="F105" s="20" t="s">
        <v>48</v>
      </c>
      <c r="G105" s="22" t="n">
        <v>443.24</v>
      </c>
      <c r="H105" s="22" t="n">
        <v>517.7</v>
      </c>
      <c r="I105" s="23" t="n">
        <f aca="false">H105-G105</f>
        <v>74.46</v>
      </c>
      <c r="J105" s="20" t="s">
        <v>23</v>
      </c>
      <c r="K105" s="20" t="n">
        <v>2</v>
      </c>
    </row>
    <row r="106" customFormat="false" ht="15" hidden="false" customHeight="true" outlineLevel="0" collapsed="false">
      <c r="A106" s="20" t="s">
        <v>154</v>
      </c>
      <c r="B106" s="21" t="n">
        <v>46002</v>
      </c>
      <c r="C106" s="17" t="str">
        <f aca="false">TEXT(B106,"mmm")</f>
        <v>Dec</v>
      </c>
      <c r="D106" s="20" t="s">
        <v>50</v>
      </c>
      <c r="E106" s="20" t="s">
        <v>53</v>
      </c>
      <c r="F106" s="20" t="s">
        <v>38</v>
      </c>
      <c r="G106" s="22" t="n">
        <v>9732.34</v>
      </c>
      <c r="H106" s="22" t="n">
        <v>8151.76</v>
      </c>
      <c r="I106" s="23" t="n">
        <f aca="false">H106-G106</f>
        <v>-1580.58</v>
      </c>
      <c r="J106" s="20" t="s">
        <v>23</v>
      </c>
      <c r="K106" s="20" t="n">
        <v>29</v>
      </c>
    </row>
    <row r="107" customFormat="false" ht="15" hidden="false" customHeight="true" outlineLevel="0" collapsed="false">
      <c r="A107" s="20" t="s">
        <v>155</v>
      </c>
      <c r="B107" s="21" t="n">
        <v>45800</v>
      </c>
      <c r="C107" s="17" t="str">
        <f aca="false">TEXT(B107,"mmm")</f>
        <v>May</v>
      </c>
      <c r="D107" s="20" t="s">
        <v>56</v>
      </c>
      <c r="E107" s="20" t="s">
        <v>53</v>
      </c>
      <c r="F107" s="20" t="s">
        <v>62</v>
      </c>
      <c r="G107" s="22" t="n">
        <v>3877.15</v>
      </c>
      <c r="H107" s="22" t="n">
        <v>3861.11</v>
      </c>
      <c r="I107" s="23" t="n">
        <f aca="false">H107-G107</f>
        <v>-16.04</v>
      </c>
      <c r="J107" s="20" t="s">
        <v>23</v>
      </c>
      <c r="K107" s="20" t="n">
        <v>23</v>
      </c>
    </row>
    <row r="108" customFormat="false" ht="15" hidden="false" customHeight="true" outlineLevel="0" collapsed="false">
      <c r="A108" s="20" t="s">
        <v>156</v>
      </c>
      <c r="B108" s="21" t="n">
        <v>45867</v>
      </c>
      <c r="C108" s="17" t="str">
        <f aca="false">TEXT(B108,"mmm")</f>
        <v>Jul</v>
      </c>
      <c r="D108" s="20" t="s">
        <v>50</v>
      </c>
      <c r="E108" s="20" t="s">
        <v>43</v>
      </c>
      <c r="F108" s="20" t="s">
        <v>59</v>
      </c>
      <c r="G108" s="22" t="n">
        <v>1417.13</v>
      </c>
      <c r="H108" s="22" t="n">
        <v>1296.53</v>
      </c>
      <c r="I108" s="23" t="n">
        <f aca="false">H108-G108</f>
        <v>-120.6</v>
      </c>
      <c r="J108" s="20" t="s">
        <v>23</v>
      </c>
      <c r="K108" s="20" t="n">
        <v>19</v>
      </c>
    </row>
    <row r="109" customFormat="false" ht="15" hidden="false" customHeight="true" outlineLevel="0" collapsed="false">
      <c r="A109" s="20" t="s">
        <v>157</v>
      </c>
      <c r="B109" s="21" t="n">
        <v>45997</v>
      </c>
      <c r="C109" s="17" t="str">
        <f aca="false">TEXT(B109,"mmm")</f>
        <v>Dec</v>
      </c>
      <c r="D109" s="20" t="s">
        <v>37</v>
      </c>
      <c r="E109" s="20" t="s">
        <v>53</v>
      </c>
      <c r="F109" s="20" t="s">
        <v>38</v>
      </c>
      <c r="G109" s="22" t="n">
        <v>7816.95</v>
      </c>
      <c r="H109" s="22" t="n">
        <v>7091.99</v>
      </c>
      <c r="I109" s="23" t="n">
        <f aca="false">H109-G109</f>
        <v>-724.96</v>
      </c>
      <c r="J109" s="20" t="s">
        <v>23</v>
      </c>
      <c r="K109" s="20" t="n">
        <v>26</v>
      </c>
    </row>
    <row r="110" customFormat="false" ht="15" hidden="false" customHeight="true" outlineLevel="0" collapsed="false">
      <c r="A110" s="20" t="s">
        <v>158</v>
      </c>
      <c r="B110" s="21" t="n">
        <v>45921</v>
      </c>
      <c r="C110" s="17" t="str">
        <f aca="false">TEXT(B110,"mmm")</f>
        <v>Sep</v>
      </c>
      <c r="D110" s="20" t="s">
        <v>33</v>
      </c>
      <c r="E110" s="20" t="s">
        <v>57</v>
      </c>
      <c r="F110" s="20" t="s">
        <v>41</v>
      </c>
      <c r="G110" s="22" t="n">
        <v>857.57</v>
      </c>
      <c r="H110" s="22" t="n">
        <v>723.61</v>
      </c>
      <c r="I110" s="23" t="n">
        <f aca="false">H110-G110</f>
        <v>-133.96</v>
      </c>
      <c r="J110" s="20" t="s">
        <v>23</v>
      </c>
      <c r="K110" s="20" t="n">
        <v>32</v>
      </c>
    </row>
    <row r="111" customFormat="false" ht="15" hidden="false" customHeight="true" outlineLevel="0" collapsed="false">
      <c r="A111" s="20" t="s">
        <v>159</v>
      </c>
      <c r="B111" s="21" t="n">
        <v>45978</v>
      </c>
      <c r="C111" s="17" t="str">
        <f aca="false">TEXT(B111,"mmm")</f>
        <v>Nov</v>
      </c>
      <c r="D111" s="20" t="s">
        <v>37</v>
      </c>
      <c r="E111" s="20" t="s">
        <v>34</v>
      </c>
      <c r="F111" s="20" t="s">
        <v>48</v>
      </c>
      <c r="G111" s="22" t="n">
        <v>256.74</v>
      </c>
      <c r="H111" s="22" t="n">
        <v>209.37</v>
      </c>
      <c r="I111" s="23" t="n">
        <f aca="false">H111-G111</f>
        <v>-47.37</v>
      </c>
      <c r="J111" s="20" t="s">
        <v>23</v>
      </c>
      <c r="K111" s="20" t="n">
        <v>45</v>
      </c>
    </row>
    <row r="112" customFormat="false" ht="15" hidden="false" customHeight="true" outlineLevel="0" collapsed="false">
      <c r="A112" s="20" t="s">
        <v>160</v>
      </c>
      <c r="B112" s="21" t="n">
        <v>45906</v>
      </c>
      <c r="C112" s="17" t="str">
        <f aca="false">TEXT(B112,"mmm")</f>
        <v>Sep</v>
      </c>
      <c r="D112" s="20" t="s">
        <v>33</v>
      </c>
      <c r="E112" s="20" t="s">
        <v>34</v>
      </c>
      <c r="F112" s="20" t="s">
        <v>48</v>
      </c>
      <c r="G112" s="22" t="n">
        <v>408.45</v>
      </c>
      <c r="H112" s="22" t="n">
        <v>369.8</v>
      </c>
      <c r="I112" s="23" t="n">
        <f aca="false">H112-G112</f>
        <v>-38.65</v>
      </c>
      <c r="J112" s="20" t="s">
        <v>23</v>
      </c>
      <c r="K112" s="20" t="n">
        <v>27</v>
      </c>
    </row>
    <row r="113" customFormat="false" ht="15" hidden="false" customHeight="true" outlineLevel="0" collapsed="false">
      <c r="A113" s="20" t="s">
        <v>161</v>
      </c>
      <c r="B113" s="21" t="n">
        <v>45705</v>
      </c>
      <c r="C113" s="17" t="str">
        <f aca="false">TEXT(B113,"mmm")</f>
        <v>Feb</v>
      </c>
      <c r="D113" s="20" t="s">
        <v>56</v>
      </c>
      <c r="E113" s="20" t="s">
        <v>34</v>
      </c>
      <c r="F113" s="20" t="s">
        <v>41</v>
      </c>
      <c r="G113" s="22" t="n">
        <v>939.94</v>
      </c>
      <c r="H113" s="22" t="n">
        <v>1009.36</v>
      </c>
      <c r="I113" s="23" t="n">
        <f aca="false">H113-G113</f>
        <v>69.42</v>
      </c>
      <c r="J113" s="20" t="s">
        <v>23</v>
      </c>
      <c r="K113" s="20" t="n">
        <v>19</v>
      </c>
    </row>
    <row r="114" customFormat="false" ht="15" hidden="false" customHeight="true" outlineLevel="0" collapsed="false">
      <c r="A114" s="20" t="s">
        <v>162</v>
      </c>
      <c r="B114" s="21" t="n">
        <v>45918</v>
      </c>
      <c r="C114" s="17" t="str">
        <f aca="false">TEXT(B114,"mmm")</f>
        <v>Sep</v>
      </c>
      <c r="D114" s="20" t="s">
        <v>50</v>
      </c>
      <c r="E114" s="20" t="s">
        <v>51</v>
      </c>
      <c r="F114" s="20" t="s">
        <v>41</v>
      </c>
      <c r="G114" s="22" t="n">
        <v>859.25</v>
      </c>
      <c r="H114" s="22" t="n">
        <v>749.15</v>
      </c>
      <c r="I114" s="23" t="n">
        <f aca="false">H114-G114</f>
        <v>-110.1</v>
      </c>
      <c r="J114" s="20" t="s">
        <v>23</v>
      </c>
      <c r="K114" s="20" t="n">
        <v>25</v>
      </c>
    </row>
    <row r="115" customFormat="false" ht="15" hidden="false" customHeight="true" outlineLevel="0" collapsed="false">
      <c r="A115" s="20" t="s">
        <v>163</v>
      </c>
      <c r="B115" s="21" t="n">
        <v>45755</v>
      </c>
      <c r="C115" s="17" t="str">
        <f aca="false">TEXT(B115,"mmm")</f>
        <v>Apr</v>
      </c>
      <c r="D115" s="20" t="s">
        <v>56</v>
      </c>
      <c r="E115" s="20" t="s">
        <v>34</v>
      </c>
      <c r="F115" s="20" t="s">
        <v>35</v>
      </c>
      <c r="G115" s="22" t="n">
        <v>3173.81</v>
      </c>
      <c r="H115" s="22" t="n">
        <v>3736.23</v>
      </c>
      <c r="I115" s="23" t="n">
        <f aca="false">H115-G115</f>
        <v>562.42</v>
      </c>
      <c r="J115" s="20" t="s">
        <v>23</v>
      </c>
      <c r="K115" s="20" t="n">
        <v>33</v>
      </c>
    </row>
    <row r="116" customFormat="false" ht="15" hidden="false" customHeight="true" outlineLevel="0" collapsed="false">
      <c r="A116" s="20" t="s">
        <v>164</v>
      </c>
      <c r="B116" s="21" t="n">
        <v>45794</v>
      </c>
      <c r="C116" s="17" t="str">
        <f aca="false">TEXT(B116,"mmm")</f>
        <v>May</v>
      </c>
      <c r="D116" s="20" t="s">
        <v>33</v>
      </c>
      <c r="E116" s="20" t="s">
        <v>43</v>
      </c>
      <c r="F116" s="20" t="s">
        <v>35</v>
      </c>
      <c r="G116" s="22" t="n">
        <v>3550.6</v>
      </c>
      <c r="H116" s="22" t="n">
        <v>3692.49</v>
      </c>
      <c r="I116" s="23" t="n">
        <f aca="false">H116-G116</f>
        <v>141.89</v>
      </c>
      <c r="J116" s="20" t="s">
        <v>23</v>
      </c>
      <c r="K116" s="20" t="n">
        <v>10</v>
      </c>
    </row>
    <row r="117" customFormat="false" ht="15" hidden="false" customHeight="true" outlineLevel="0" collapsed="false">
      <c r="A117" s="20" t="s">
        <v>165</v>
      </c>
      <c r="B117" s="21" t="n">
        <v>45886</v>
      </c>
      <c r="C117" s="17" t="str">
        <f aca="false">TEXT(B117,"mmm")</f>
        <v>Aug</v>
      </c>
      <c r="D117" s="20" t="s">
        <v>37</v>
      </c>
      <c r="E117" s="20" t="s">
        <v>43</v>
      </c>
      <c r="F117" s="20" t="s">
        <v>45</v>
      </c>
      <c r="G117" s="22" t="n">
        <v>619.22</v>
      </c>
      <c r="H117" s="22" t="n">
        <v>632.67</v>
      </c>
      <c r="I117" s="23" t="n">
        <f aca="false">H117-G117</f>
        <v>13.4499999999999</v>
      </c>
      <c r="J117" s="20" t="s">
        <v>23</v>
      </c>
      <c r="K117" s="20" t="n">
        <v>21</v>
      </c>
    </row>
    <row r="118" customFormat="false" ht="15" hidden="false" customHeight="true" outlineLevel="0" collapsed="false">
      <c r="A118" s="20" t="s">
        <v>166</v>
      </c>
      <c r="B118" s="21" t="n">
        <v>45754</v>
      </c>
      <c r="C118" s="17" t="str">
        <f aca="false">TEXT(B118,"mmm")</f>
        <v>Apr</v>
      </c>
      <c r="D118" s="20" t="s">
        <v>56</v>
      </c>
      <c r="E118" s="20" t="s">
        <v>53</v>
      </c>
      <c r="F118" s="20" t="s">
        <v>62</v>
      </c>
      <c r="G118" s="22" t="n">
        <v>3337.91</v>
      </c>
      <c r="H118" s="22" t="n">
        <v>3797.78</v>
      </c>
      <c r="I118" s="23" t="n">
        <f aca="false">H118-G118</f>
        <v>459.87</v>
      </c>
      <c r="J118" s="20" t="s">
        <v>23</v>
      </c>
      <c r="K118" s="20" t="n">
        <v>31</v>
      </c>
    </row>
    <row r="119" customFormat="false" ht="15" hidden="false" customHeight="true" outlineLevel="0" collapsed="false">
      <c r="A119" s="20" t="s">
        <v>167</v>
      </c>
      <c r="B119" s="21" t="n">
        <v>46019</v>
      </c>
      <c r="C119" s="17" t="str">
        <f aca="false">TEXT(B119,"mmm")</f>
        <v>Dec</v>
      </c>
      <c r="D119" s="20" t="s">
        <v>37</v>
      </c>
      <c r="E119" s="20" t="s">
        <v>51</v>
      </c>
      <c r="F119" s="20" t="s">
        <v>54</v>
      </c>
      <c r="G119" s="22" t="n">
        <v>840.07</v>
      </c>
      <c r="H119" s="22" t="n">
        <v>645.6</v>
      </c>
      <c r="I119" s="23" t="n">
        <f aca="false">H119-G119</f>
        <v>-194.47</v>
      </c>
      <c r="J119" s="20" t="s">
        <v>23</v>
      </c>
      <c r="K119" s="20" t="n">
        <v>38</v>
      </c>
    </row>
    <row r="120" customFormat="false" ht="15" hidden="false" customHeight="true" outlineLevel="0" collapsed="false">
      <c r="A120" s="20" t="s">
        <v>168</v>
      </c>
      <c r="B120" s="21" t="n">
        <v>45827</v>
      </c>
      <c r="C120" s="17" t="str">
        <f aca="false">TEXT(B120,"mmm")</f>
        <v>Jun</v>
      </c>
      <c r="D120" s="20" t="s">
        <v>33</v>
      </c>
      <c r="E120" s="20" t="s">
        <v>51</v>
      </c>
      <c r="F120" s="20" t="s">
        <v>59</v>
      </c>
      <c r="G120" s="22" t="n">
        <v>1532.32</v>
      </c>
      <c r="H120" s="22" t="n">
        <v>1499.32</v>
      </c>
      <c r="I120" s="23" t="n">
        <f aca="false">H120-G120</f>
        <v>-33</v>
      </c>
      <c r="J120" s="20" t="s">
        <v>24</v>
      </c>
      <c r="K120" s="20" t="n">
        <v>27</v>
      </c>
    </row>
    <row r="121" customFormat="false" ht="15" hidden="false" customHeight="true" outlineLevel="0" collapsed="false">
      <c r="A121" s="20" t="s">
        <v>169</v>
      </c>
      <c r="B121" s="21" t="n">
        <v>45993</v>
      </c>
      <c r="C121" s="17" t="str">
        <f aca="false">TEXT(B121,"mmm")</f>
        <v>Dec</v>
      </c>
      <c r="D121" s="20" t="s">
        <v>56</v>
      </c>
      <c r="E121" s="20" t="s">
        <v>34</v>
      </c>
      <c r="F121" s="20" t="s">
        <v>41</v>
      </c>
      <c r="G121" s="22" t="n">
        <v>891.27</v>
      </c>
      <c r="H121" s="22" t="n">
        <v>786.56</v>
      </c>
      <c r="I121" s="23" t="n">
        <f aca="false">H121-G121</f>
        <v>-104.71</v>
      </c>
      <c r="J121" s="20" t="s">
        <v>23</v>
      </c>
      <c r="K121" s="20" t="n">
        <v>26</v>
      </c>
    </row>
    <row r="122" customFormat="false" ht="15" hidden="false" customHeight="true" outlineLevel="0" collapsed="false">
      <c r="A122" s="20" t="s">
        <v>170</v>
      </c>
      <c r="B122" s="21" t="n">
        <v>45990</v>
      </c>
      <c r="C122" s="17" t="str">
        <f aca="false">TEXT(B122,"mmm")</f>
        <v>Nov</v>
      </c>
      <c r="D122" s="20" t="s">
        <v>33</v>
      </c>
      <c r="E122" s="20" t="s">
        <v>43</v>
      </c>
      <c r="F122" s="20" t="s">
        <v>62</v>
      </c>
      <c r="G122" s="22" t="n">
        <v>4716.49</v>
      </c>
      <c r="H122" s="22" t="n">
        <v>5015.51</v>
      </c>
      <c r="I122" s="23" t="n">
        <f aca="false">H122-G122</f>
        <v>299.02</v>
      </c>
      <c r="J122" s="20" t="s">
        <v>24</v>
      </c>
      <c r="K122" s="20" t="n">
        <v>32</v>
      </c>
    </row>
    <row r="123" customFormat="false" ht="15" hidden="false" customHeight="true" outlineLevel="0" collapsed="false">
      <c r="A123" s="20" t="s">
        <v>171</v>
      </c>
      <c r="B123" s="21" t="n">
        <v>45935</v>
      </c>
      <c r="C123" s="17" t="str">
        <f aca="false">TEXT(B123,"mmm")</f>
        <v>Oct</v>
      </c>
      <c r="D123" s="20" t="s">
        <v>33</v>
      </c>
      <c r="E123" s="20" t="s">
        <v>53</v>
      </c>
      <c r="F123" s="20" t="s">
        <v>59</v>
      </c>
      <c r="G123" s="22" t="n">
        <v>1371.59</v>
      </c>
      <c r="H123" s="22" t="n">
        <v>1498.05</v>
      </c>
      <c r="I123" s="23" t="n">
        <f aca="false">H123-G123</f>
        <v>126.46</v>
      </c>
      <c r="J123" s="20" t="s">
        <v>23</v>
      </c>
      <c r="K123" s="20" t="n">
        <v>15</v>
      </c>
    </row>
    <row r="124" customFormat="false" ht="15" hidden="false" customHeight="true" outlineLevel="0" collapsed="false">
      <c r="A124" s="20" t="s">
        <v>172</v>
      </c>
      <c r="B124" s="21" t="n">
        <v>45704</v>
      </c>
      <c r="C124" s="17" t="str">
        <f aca="false">TEXT(B124,"mmm")</f>
        <v>Feb</v>
      </c>
      <c r="D124" s="20" t="s">
        <v>37</v>
      </c>
      <c r="E124" s="20" t="s">
        <v>34</v>
      </c>
      <c r="F124" s="20" t="s">
        <v>59</v>
      </c>
      <c r="G124" s="22" t="n">
        <v>1099.02</v>
      </c>
      <c r="H124" s="22" t="n">
        <v>1205.63</v>
      </c>
      <c r="I124" s="23" t="n">
        <f aca="false">H124-G124</f>
        <v>106.61</v>
      </c>
      <c r="J124" s="20" t="s">
        <v>25</v>
      </c>
      <c r="K124" s="20" t="n">
        <v>3</v>
      </c>
    </row>
    <row r="125" customFormat="false" ht="15" hidden="false" customHeight="true" outlineLevel="0" collapsed="false">
      <c r="A125" s="20" t="s">
        <v>173</v>
      </c>
      <c r="B125" s="21" t="n">
        <v>45824</v>
      </c>
      <c r="C125" s="17" t="str">
        <f aca="false">TEXT(B125,"mmm")</f>
        <v>Jun</v>
      </c>
      <c r="D125" s="20" t="s">
        <v>33</v>
      </c>
      <c r="E125" s="20" t="s">
        <v>43</v>
      </c>
      <c r="F125" s="20" t="s">
        <v>45</v>
      </c>
      <c r="G125" s="22" t="n">
        <v>784.83</v>
      </c>
      <c r="H125" s="22" t="n">
        <v>645.75</v>
      </c>
      <c r="I125" s="23" t="n">
        <f aca="false">H125-G125</f>
        <v>-139.08</v>
      </c>
      <c r="J125" s="20" t="s">
        <v>23</v>
      </c>
      <c r="K125" s="20" t="n">
        <v>37</v>
      </c>
    </row>
    <row r="126" customFormat="false" ht="15" hidden="false" customHeight="true" outlineLevel="0" collapsed="false">
      <c r="A126" s="20" t="s">
        <v>174</v>
      </c>
      <c r="B126" s="21" t="n">
        <v>46007</v>
      </c>
      <c r="C126" s="17" t="str">
        <f aca="false">TEXT(B126,"mmm")</f>
        <v>Dec</v>
      </c>
      <c r="D126" s="20" t="s">
        <v>56</v>
      </c>
      <c r="E126" s="20" t="s">
        <v>40</v>
      </c>
      <c r="F126" s="20" t="s">
        <v>54</v>
      </c>
      <c r="G126" s="22" t="n">
        <v>880.35</v>
      </c>
      <c r="H126" s="22" t="n">
        <v>1043.58</v>
      </c>
      <c r="I126" s="23" t="n">
        <f aca="false">H126-G126</f>
        <v>163.23</v>
      </c>
      <c r="J126" s="20" t="s">
        <v>23</v>
      </c>
      <c r="K126" s="20" t="n">
        <v>16</v>
      </c>
    </row>
    <row r="127" customFormat="false" ht="15" hidden="false" customHeight="true" outlineLevel="0" collapsed="false">
      <c r="A127" s="20" t="s">
        <v>175</v>
      </c>
      <c r="B127" s="21" t="n">
        <v>45912</v>
      </c>
      <c r="C127" s="17" t="str">
        <f aca="false">TEXT(B127,"mmm")</f>
        <v>Sep</v>
      </c>
      <c r="D127" s="20" t="s">
        <v>56</v>
      </c>
      <c r="E127" s="20" t="s">
        <v>40</v>
      </c>
      <c r="F127" s="20" t="s">
        <v>41</v>
      </c>
      <c r="G127" s="22" t="n">
        <v>849.04</v>
      </c>
      <c r="H127" s="22" t="n">
        <v>831.88</v>
      </c>
      <c r="I127" s="23" t="n">
        <f aca="false">H127-G127</f>
        <v>-17.16</v>
      </c>
      <c r="J127" s="20" t="s">
        <v>23</v>
      </c>
      <c r="K127" s="20" t="n">
        <v>30</v>
      </c>
    </row>
    <row r="128" customFormat="false" ht="15" hidden="false" customHeight="true" outlineLevel="0" collapsed="false">
      <c r="A128" s="20" t="s">
        <v>176</v>
      </c>
      <c r="B128" s="21" t="n">
        <v>45805</v>
      </c>
      <c r="C128" s="17" t="str">
        <f aca="false">TEXT(B128,"mmm")</f>
        <v>May</v>
      </c>
      <c r="D128" s="20" t="s">
        <v>56</v>
      </c>
      <c r="E128" s="20" t="s">
        <v>34</v>
      </c>
      <c r="F128" s="20" t="s">
        <v>41</v>
      </c>
      <c r="G128" s="22" t="n">
        <v>939.4</v>
      </c>
      <c r="H128" s="22" t="n">
        <v>1168.45</v>
      </c>
      <c r="I128" s="23" t="n">
        <f aca="false">H128-G128</f>
        <v>229.05</v>
      </c>
      <c r="J128" s="20" t="s">
        <v>23</v>
      </c>
      <c r="K128" s="20" t="n">
        <v>28</v>
      </c>
    </row>
    <row r="129" customFormat="false" ht="15" hidden="false" customHeight="true" outlineLevel="0" collapsed="false">
      <c r="A129" s="20" t="s">
        <v>177</v>
      </c>
      <c r="B129" s="21" t="n">
        <v>46011</v>
      </c>
      <c r="C129" s="17" t="str">
        <f aca="false">TEXT(B129,"mmm")</f>
        <v>Dec</v>
      </c>
      <c r="D129" s="20" t="s">
        <v>50</v>
      </c>
      <c r="E129" s="20" t="s">
        <v>51</v>
      </c>
      <c r="F129" s="20" t="s">
        <v>35</v>
      </c>
      <c r="G129" s="22" t="n">
        <v>2326.76</v>
      </c>
      <c r="H129" s="22" t="n">
        <v>2192.61</v>
      </c>
      <c r="I129" s="23" t="n">
        <f aca="false">H129-G129</f>
        <v>-134.15</v>
      </c>
      <c r="J129" s="20" t="s">
        <v>23</v>
      </c>
      <c r="K129" s="20" t="n">
        <v>16</v>
      </c>
    </row>
    <row r="130" customFormat="false" ht="15" hidden="false" customHeight="true" outlineLevel="0" collapsed="false">
      <c r="A130" s="20" t="s">
        <v>178</v>
      </c>
      <c r="B130" s="21" t="n">
        <v>45853</v>
      </c>
      <c r="C130" s="17" t="str">
        <f aca="false">TEXT(B130,"mmm")</f>
        <v>Jul</v>
      </c>
      <c r="D130" s="20" t="s">
        <v>50</v>
      </c>
      <c r="E130" s="20" t="s">
        <v>53</v>
      </c>
      <c r="F130" s="20" t="s">
        <v>35</v>
      </c>
      <c r="G130" s="22" t="n">
        <v>3080.56</v>
      </c>
      <c r="H130" s="22" t="n">
        <v>2765.16</v>
      </c>
      <c r="I130" s="23" t="n">
        <f aca="false">H130-G130</f>
        <v>-315.4</v>
      </c>
      <c r="J130" s="20" t="s">
        <v>25</v>
      </c>
      <c r="K130" s="20" t="n">
        <v>43</v>
      </c>
    </row>
    <row r="131" customFormat="false" ht="15" hidden="false" customHeight="true" outlineLevel="0" collapsed="false">
      <c r="A131" s="20" t="s">
        <v>179</v>
      </c>
      <c r="B131" s="21" t="n">
        <v>45860</v>
      </c>
      <c r="C131" s="17" t="str">
        <f aca="false">TEXT(B131,"mmm")</f>
        <v>Jul</v>
      </c>
      <c r="D131" s="20" t="s">
        <v>50</v>
      </c>
      <c r="E131" s="20" t="s">
        <v>34</v>
      </c>
      <c r="F131" s="20" t="s">
        <v>38</v>
      </c>
      <c r="G131" s="22" t="n">
        <v>10208.79</v>
      </c>
      <c r="H131" s="22" t="n">
        <v>11460.25</v>
      </c>
      <c r="I131" s="23" t="n">
        <f aca="false">H131-G131</f>
        <v>1251.46</v>
      </c>
      <c r="J131" s="20" t="s">
        <v>24</v>
      </c>
      <c r="K131" s="20" t="n">
        <v>19</v>
      </c>
    </row>
    <row r="132" customFormat="false" ht="15" hidden="false" customHeight="true" outlineLevel="0" collapsed="false">
      <c r="A132" s="20" t="s">
        <v>180</v>
      </c>
      <c r="B132" s="21" t="n">
        <v>45775</v>
      </c>
      <c r="C132" s="17" t="str">
        <f aca="false">TEXT(B132,"mmm")</f>
        <v>Apr</v>
      </c>
      <c r="D132" s="20" t="s">
        <v>50</v>
      </c>
      <c r="E132" s="20" t="s">
        <v>40</v>
      </c>
      <c r="F132" s="20" t="s">
        <v>48</v>
      </c>
      <c r="G132" s="22" t="n">
        <v>327.28</v>
      </c>
      <c r="H132" s="22" t="n">
        <v>356.37</v>
      </c>
      <c r="I132" s="23" t="n">
        <f aca="false">H132-G132</f>
        <v>29.09</v>
      </c>
      <c r="J132" s="20" t="s">
        <v>24</v>
      </c>
      <c r="K132" s="20" t="n">
        <v>43</v>
      </c>
    </row>
    <row r="133" customFormat="false" ht="15" hidden="false" customHeight="true" outlineLevel="0" collapsed="false">
      <c r="A133" s="20" t="s">
        <v>181</v>
      </c>
      <c r="B133" s="21" t="n">
        <v>46006</v>
      </c>
      <c r="C133" s="17" t="str">
        <f aca="false">TEXT(B133,"mmm")</f>
        <v>Dec</v>
      </c>
      <c r="D133" s="20" t="s">
        <v>56</v>
      </c>
      <c r="E133" s="20" t="s">
        <v>57</v>
      </c>
      <c r="F133" s="20" t="s">
        <v>59</v>
      </c>
      <c r="G133" s="22" t="n">
        <v>1589.32</v>
      </c>
      <c r="H133" s="22" t="n">
        <v>1705.61</v>
      </c>
      <c r="I133" s="23" t="n">
        <f aca="false">H133-G133</f>
        <v>116.29</v>
      </c>
      <c r="J133" s="20" t="s">
        <v>23</v>
      </c>
      <c r="K133" s="20" t="n">
        <v>29</v>
      </c>
    </row>
    <row r="134" customFormat="false" ht="15" hidden="false" customHeight="true" outlineLevel="0" collapsed="false">
      <c r="A134" s="20" t="s">
        <v>182</v>
      </c>
      <c r="B134" s="21" t="n">
        <v>45675</v>
      </c>
      <c r="C134" s="17" t="str">
        <f aca="false">TEXT(B134,"mmm")</f>
        <v>Jan</v>
      </c>
      <c r="D134" s="20" t="s">
        <v>50</v>
      </c>
      <c r="E134" s="20" t="s">
        <v>57</v>
      </c>
      <c r="F134" s="20" t="s">
        <v>54</v>
      </c>
      <c r="G134" s="22" t="n">
        <v>800.33</v>
      </c>
      <c r="H134" s="22" t="n">
        <v>718.34</v>
      </c>
      <c r="I134" s="23" t="n">
        <f aca="false">H134-G134</f>
        <v>-81.99</v>
      </c>
      <c r="J134" s="20" t="s">
        <v>24</v>
      </c>
      <c r="K134" s="20" t="n">
        <v>12</v>
      </c>
    </row>
    <row r="135" customFormat="false" ht="15" hidden="false" customHeight="true" outlineLevel="0" collapsed="false">
      <c r="A135" s="20" t="s">
        <v>183</v>
      </c>
      <c r="B135" s="21" t="n">
        <v>45760</v>
      </c>
      <c r="C135" s="17" t="str">
        <f aca="false">TEXT(B135,"mmm")</f>
        <v>Apr</v>
      </c>
      <c r="D135" s="20" t="s">
        <v>56</v>
      </c>
      <c r="E135" s="20" t="s">
        <v>53</v>
      </c>
      <c r="F135" s="20" t="s">
        <v>45</v>
      </c>
      <c r="G135" s="22" t="n">
        <v>759.17</v>
      </c>
      <c r="H135" s="22" t="n">
        <v>916.12</v>
      </c>
      <c r="I135" s="23" t="n">
        <f aca="false">H135-G135</f>
        <v>156.95</v>
      </c>
      <c r="J135" s="20" t="s">
        <v>24</v>
      </c>
      <c r="K135" s="20" t="n">
        <v>17</v>
      </c>
    </row>
    <row r="136" customFormat="false" ht="15" hidden="false" customHeight="true" outlineLevel="0" collapsed="false">
      <c r="A136" s="20" t="s">
        <v>184</v>
      </c>
      <c r="B136" s="21" t="n">
        <v>45904</v>
      </c>
      <c r="C136" s="17" t="str">
        <f aca="false">TEXT(B136,"mmm")</f>
        <v>Sep</v>
      </c>
      <c r="D136" s="20" t="s">
        <v>50</v>
      </c>
      <c r="E136" s="20" t="s">
        <v>57</v>
      </c>
      <c r="F136" s="20" t="s">
        <v>45</v>
      </c>
      <c r="G136" s="22" t="n">
        <v>754.4</v>
      </c>
      <c r="H136" s="22" t="n">
        <v>742.45</v>
      </c>
      <c r="I136" s="23" t="n">
        <f aca="false">H136-G136</f>
        <v>-11.9499999999999</v>
      </c>
      <c r="J136" s="20" t="s">
        <v>23</v>
      </c>
      <c r="K136" s="20" t="n">
        <v>15</v>
      </c>
    </row>
    <row r="137" customFormat="false" ht="15" hidden="false" customHeight="true" outlineLevel="0" collapsed="false">
      <c r="A137" s="20" t="s">
        <v>185</v>
      </c>
      <c r="B137" s="21" t="n">
        <v>46004</v>
      </c>
      <c r="C137" s="17" t="str">
        <f aca="false">TEXT(B137,"mmm")</f>
        <v>Dec</v>
      </c>
      <c r="D137" s="20" t="s">
        <v>37</v>
      </c>
      <c r="E137" s="20" t="s">
        <v>53</v>
      </c>
      <c r="F137" s="20" t="s">
        <v>45</v>
      </c>
      <c r="G137" s="22" t="n">
        <v>517.21</v>
      </c>
      <c r="H137" s="22" t="n">
        <v>489.95</v>
      </c>
      <c r="I137" s="23" t="n">
        <f aca="false">H137-G137</f>
        <v>-27.26</v>
      </c>
      <c r="J137" s="20" t="s">
        <v>23</v>
      </c>
      <c r="K137" s="20" t="n">
        <v>8</v>
      </c>
    </row>
    <row r="138" customFormat="false" ht="15" hidden="false" customHeight="true" outlineLevel="0" collapsed="false">
      <c r="A138" s="20" t="s">
        <v>186</v>
      </c>
      <c r="B138" s="21" t="n">
        <v>45890</v>
      </c>
      <c r="C138" s="17" t="str">
        <f aca="false">TEXT(B138,"mmm")</f>
        <v>Aug</v>
      </c>
      <c r="D138" s="20" t="s">
        <v>50</v>
      </c>
      <c r="E138" s="20" t="s">
        <v>57</v>
      </c>
      <c r="F138" s="20" t="s">
        <v>35</v>
      </c>
      <c r="G138" s="22" t="n">
        <v>2692.83</v>
      </c>
      <c r="H138" s="22" t="n">
        <v>3126.94</v>
      </c>
      <c r="I138" s="23" t="n">
        <f aca="false">H138-G138</f>
        <v>434.11</v>
      </c>
      <c r="J138" s="20" t="s">
        <v>25</v>
      </c>
      <c r="K138" s="20" t="n">
        <v>7</v>
      </c>
    </row>
    <row r="139" customFormat="false" ht="15" hidden="false" customHeight="true" outlineLevel="0" collapsed="false">
      <c r="A139" s="20" t="s">
        <v>187</v>
      </c>
      <c r="B139" s="21" t="n">
        <v>46003</v>
      </c>
      <c r="C139" s="17" t="str">
        <f aca="false">TEXT(B139,"mmm")</f>
        <v>Dec</v>
      </c>
      <c r="D139" s="20" t="s">
        <v>56</v>
      </c>
      <c r="E139" s="20" t="s">
        <v>51</v>
      </c>
      <c r="F139" s="20" t="s">
        <v>38</v>
      </c>
      <c r="G139" s="22" t="n">
        <v>10244.28</v>
      </c>
      <c r="H139" s="22" t="n">
        <v>12514.25</v>
      </c>
      <c r="I139" s="23" t="n">
        <f aca="false">H139-G139</f>
        <v>2269.97</v>
      </c>
      <c r="J139" s="20" t="s">
        <v>23</v>
      </c>
      <c r="K139" s="20" t="n">
        <v>40</v>
      </c>
    </row>
    <row r="140" customFormat="false" ht="15" hidden="false" customHeight="true" outlineLevel="0" collapsed="false">
      <c r="A140" s="20" t="s">
        <v>188</v>
      </c>
      <c r="B140" s="21" t="n">
        <v>45771</v>
      </c>
      <c r="C140" s="17" t="str">
        <f aca="false">TEXT(B140,"mmm")</f>
        <v>Apr</v>
      </c>
      <c r="D140" s="20" t="s">
        <v>33</v>
      </c>
      <c r="E140" s="20" t="s">
        <v>57</v>
      </c>
      <c r="F140" s="20" t="s">
        <v>41</v>
      </c>
      <c r="G140" s="22" t="n">
        <v>1017.32</v>
      </c>
      <c r="H140" s="22" t="n">
        <v>916.7</v>
      </c>
      <c r="I140" s="23" t="n">
        <f aca="false">H140-G140</f>
        <v>-100.62</v>
      </c>
      <c r="J140" s="20" t="s">
        <v>23</v>
      </c>
      <c r="K140" s="20" t="n">
        <v>9</v>
      </c>
    </row>
    <row r="141" customFormat="false" ht="15" hidden="false" customHeight="true" outlineLevel="0" collapsed="false">
      <c r="A141" s="20" t="s">
        <v>189</v>
      </c>
      <c r="B141" s="21" t="n">
        <v>45681</v>
      </c>
      <c r="C141" s="17" t="str">
        <f aca="false">TEXT(B141,"mmm")</f>
        <v>Jan</v>
      </c>
      <c r="D141" s="20" t="s">
        <v>33</v>
      </c>
      <c r="E141" s="20" t="s">
        <v>43</v>
      </c>
      <c r="F141" s="20" t="s">
        <v>41</v>
      </c>
      <c r="G141" s="22" t="n">
        <v>761.89</v>
      </c>
      <c r="H141" s="22" t="n">
        <v>660.86</v>
      </c>
      <c r="I141" s="23" t="n">
        <f aca="false">H141-G141</f>
        <v>-101.03</v>
      </c>
      <c r="J141" s="20" t="s">
        <v>23</v>
      </c>
      <c r="K141" s="20" t="n">
        <v>25</v>
      </c>
    </row>
    <row r="142" customFormat="false" ht="15" hidden="false" customHeight="true" outlineLevel="0" collapsed="false">
      <c r="A142" s="20" t="s">
        <v>190</v>
      </c>
      <c r="B142" s="21" t="n">
        <v>45890</v>
      </c>
      <c r="C142" s="17" t="str">
        <f aca="false">TEXT(B142,"mmm")</f>
        <v>Aug</v>
      </c>
      <c r="D142" s="20" t="s">
        <v>50</v>
      </c>
      <c r="E142" s="20" t="s">
        <v>57</v>
      </c>
      <c r="F142" s="20" t="s">
        <v>62</v>
      </c>
      <c r="G142" s="22" t="n">
        <v>3450.21</v>
      </c>
      <c r="H142" s="22" t="n">
        <v>3841.12</v>
      </c>
      <c r="I142" s="23" t="n">
        <f aca="false">H142-G142</f>
        <v>390.91</v>
      </c>
      <c r="J142" s="20" t="s">
        <v>24</v>
      </c>
      <c r="K142" s="20" t="n">
        <v>42</v>
      </c>
    </row>
    <row r="143" customFormat="false" ht="15" hidden="false" customHeight="true" outlineLevel="0" collapsed="false">
      <c r="A143" s="20" t="s">
        <v>191</v>
      </c>
      <c r="B143" s="21" t="n">
        <v>45708</v>
      </c>
      <c r="C143" s="17" t="str">
        <f aca="false">TEXT(B143,"mmm")</f>
        <v>Feb</v>
      </c>
      <c r="D143" s="20" t="s">
        <v>37</v>
      </c>
      <c r="E143" s="20" t="s">
        <v>53</v>
      </c>
      <c r="F143" s="20" t="s">
        <v>62</v>
      </c>
      <c r="G143" s="22" t="n">
        <v>3469.69</v>
      </c>
      <c r="H143" s="22" t="n">
        <v>3087.57</v>
      </c>
      <c r="I143" s="23" t="n">
        <f aca="false">H143-G143</f>
        <v>-382.12</v>
      </c>
      <c r="J143" s="20" t="s">
        <v>23</v>
      </c>
      <c r="K143" s="20" t="n">
        <v>14</v>
      </c>
    </row>
    <row r="144" customFormat="false" ht="15" hidden="false" customHeight="true" outlineLevel="0" collapsed="false">
      <c r="A144" s="20" t="s">
        <v>192</v>
      </c>
      <c r="B144" s="21" t="n">
        <v>45885</v>
      </c>
      <c r="C144" s="17" t="str">
        <f aca="false">TEXT(B144,"mmm")</f>
        <v>Aug</v>
      </c>
      <c r="D144" s="20" t="s">
        <v>37</v>
      </c>
      <c r="E144" s="20" t="s">
        <v>40</v>
      </c>
      <c r="F144" s="20" t="s">
        <v>45</v>
      </c>
      <c r="G144" s="22" t="n">
        <v>519.21</v>
      </c>
      <c r="H144" s="22" t="n">
        <v>567.41</v>
      </c>
      <c r="I144" s="23" t="n">
        <f aca="false">H144-G144</f>
        <v>48.1999999999999</v>
      </c>
      <c r="J144" s="20" t="s">
        <v>23</v>
      </c>
      <c r="K144" s="20" t="n">
        <v>42</v>
      </c>
    </row>
    <row r="145" customFormat="false" ht="15" hidden="false" customHeight="true" outlineLevel="0" collapsed="false">
      <c r="A145" s="20" t="s">
        <v>193</v>
      </c>
      <c r="B145" s="21" t="n">
        <v>45841</v>
      </c>
      <c r="C145" s="17" t="str">
        <f aca="false">TEXT(B145,"mmm")</f>
        <v>Jul</v>
      </c>
      <c r="D145" s="20" t="s">
        <v>33</v>
      </c>
      <c r="E145" s="20" t="s">
        <v>51</v>
      </c>
      <c r="F145" s="20" t="s">
        <v>35</v>
      </c>
      <c r="G145" s="22" t="n">
        <v>2805.78</v>
      </c>
      <c r="H145" s="22" t="n">
        <v>2275.71</v>
      </c>
      <c r="I145" s="23" t="n">
        <f aca="false">H145-G145</f>
        <v>-530.07</v>
      </c>
      <c r="J145" s="20" t="s">
        <v>24</v>
      </c>
      <c r="K145" s="20" t="n">
        <v>30</v>
      </c>
    </row>
    <row r="146" customFormat="false" ht="15" hidden="false" customHeight="true" outlineLevel="0" collapsed="false">
      <c r="A146" s="20" t="s">
        <v>194</v>
      </c>
      <c r="B146" s="21" t="n">
        <v>45704</v>
      </c>
      <c r="C146" s="17" t="str">
        <f aca="false">TEXT(B146,"mmm")</f>
        <v>Feb</v>
      </c>
      <c r="D146" s="20" t="s">
        <v>56</v>
      </c>
      <c r="E146" s="20" t="s">
        <v>57</v>
      </c>
      <c r="F146" s="20" t="s">
        <v>38</v>
      </c>
      <c r="G146" s="22" t="n">
        <v>8213.07</v>
      </c>
      <c r="H146" s="22" t="n">
        <v>7529.37</v>
      </c>
      <c r="I146" s="23" t="n">
        <f aca="false">H146-G146</f>
        <v>-683.7</v>
      </c>
      <c r="J146" s="20" t="s">
        <v>25</v>
      </c>
      <c r="K146" s="20" t="n">
        <v>37</v>
      </c>
    </row>
    <row r="147" customFormat="false" ht="15" hidden="false" customHeight="true" outlineLevel="0" collapsed="false">
      <c r="A147" s="20" t="s">
        <v>195</v>
      </c>
      <c r="B147" s="21" t="n">
        <v>45763</v>
      </c>
      <c r="C147" s="17" t="str">
        <f aca="false">TEXT(B147,"mmm")</f>
        <v>Apr</v>
      </c>
      <c r="D147" s="20" t="s">
        <v>33</v>
      </c>
      <c r="E147" s="20" t="s">
        <v>53</v>
      </c>
      <c r="F147" s="20" t="s">
        <v>48</v>
      </c>
      <c r="G147" s="22" t="n">
        <v>391.42</v>
      </c>
      <c r="H147" s="22" t="n">
        <v>452.69</v>
      </c>
      <c r="I147" s="23" t="n">
        <f aca="false">H147-G147</f>
        <v>61.27</v>
      </c>
      <c r="J147" s="20" t="s">
        <v>23</v>
      </c>
      <c r="K147" s="20" t="n">
        <v>10</v>
      </c>
    </row>
    <row r="148" customFormat="false" ht="15" hidden="false" customHeight="true" outlineLevel="0" collapsed="false">
      <c r="A148" s="20" t="s">
        <v>196</v>
      </c>
      <c r="B148" s="21" t="n">
        <v>45963</v>
      </c>
      <c r="C148" s="17" t="str">
        <f aca="false">TEXT(B148,"mmm")</f>
        <v>Nov</v>
      </c>
      <c r="D148" s="20" t="s">
        <v>33</v>
      </c>
      <c r="E148" s="20" t="s">
        <v>43</v>
      </c>
      <c r="F148" s="20" t="s">
        <v>54</v>
      </c>
      <c r="G148" s="22" t="n">
        <v>1340.34</v>
      </c>
      <c r="H148" s="22" t="n">
        <v>1367.29</v>
      </c>
      <c r="I148" s="23" t="n">
        <f aca="false">H148-G148</f>
        <v>26.95</v>
      </c>
      <c r="J148" s="20" t="s">
        <v>24</v>
      </c>
      <c r="K148" s="20" t="n">
        <v>8</v>
      </c>
    </row>
    <row r="149" customFormat="false" ht="15" hidden="false" customHeight="true" outlineLevel="0" collapsed="false">
      <c r="A149" s="20" t="s">
        <v>197</v>
      </c>
      <c r="B149" s="21" t="n">
        <v>45996</v>
      </c>
      <c r="C149" s="17" t="str">
        <f aca="false">TEXT(B149,"mmm")</f>
        <v>Dec</v>
      </c>
      <c r="D149" s="20" t="s">
        <v>33</v>
      </c>
      <c r="E149" s="20" t="s">
        <v>40</v>
      </c>
      <c r="F149" s="20" t="s">
        <v>38</v>
      </c>
      <c r="G149" s="22" t="n">
        <v>10198.23</v>
      </c>
      <c r="H149" s="22" t="n">
        <v>11668.98</v>
      </c>
      <c r="I149" s="23" t="n">
        <f aca="false">H149-G149</f>
        <v>1470.75</v>
      </c>
      <c r="J149" s="20" t="s">
        <v>23</v>
      </c>
      <c r="K149" s="20" t="n">
        <v>2</v>
      </c>
    </row>
    <row r="150" customFormat="false" ht="15" hidden="false" customHeight="true" outlineLevel="0" collapsed="false">
      <c r="A150" s="20" t="s">
        <v>198</v>
      </c>
      <c r="B150" s="21" t="n">
        <v>45747</v>
      </c>
      <c r="C150" s="17" t="str">
        <f aca="false">TEXT(B150,"mmm")</f>
        <v>Mar</v>
      </c>
      <c r="D150" s="20" t="s">
        <v>50</v>
      </c>
      <c r="E150" s="20" t="s">
        <v>34</v>
      </c>
      <c r="F150" s="20" t="s">
        <v>54</v>
      </c>
      <c r="G150" s="22" t="n">
        <v>1023.17</v>
      </c>
      <c r="H150" s="22" t="n">
        <v>1036.51</v>
      </c>
      <c r="I150" s="23" t="n">
        <f aca="false">H150-G150</f>
        <v>13.34</v>
      </c>
      <c r="J150" s="20" t="s">
        <v>24</v>
      </c>
      <c r="K150" s="20" t="n">
        <v>31</v>
      </c>
    </row>
    <row r="151" customFormat="false" ht="15" hidden="false" customHeight="true" outlineLevel="0" collapsed="false">
      <c r="A151" s="20" t="s">
        <v>199</v>
      </c>
      <c r="B151" s="21" t="n">
        <v>45887</v>
      </c>
      <c r="C151" s="17" t="str">
        <f aca="false">TEXT(B151,"mmm")</f>
        <v>Aug</v>
      </c>
      <c r="D151" s="20" t="s">
        <v>50</v>
      </c>
      <c r="E151" s="20" t="s">
        <v>53</v>
      </c>
      <c r="F151" s="20" t="s">
        <v>59</v>
      </c>
      <c r="G151" s="22" t="n">
        <v>1232.11</v>
      </c>
      <c r="H151" s="22" t="n">
        <v>1060.57</v>
      </c>
      <c r="I151" s="23" t="n">
        <f aca="false">H151-G151</f>
        <v>-171.54</v>
      </c>
      <c r="J151" s="20" t="s">
        <v>23</v>
      </c>
      <c r="K151" s="20" t="n">
        <v>43</v>
      </c>
    </row>
    <row r="152" customFormat="false" ht="15" hidden="false" customHeight="true" outlineLevel="0" collapsed="false">
      <c r="A152" s="20" t="s">
        <v>200</v>
      </c>
      <c r="B152" s="21" t="n">
        <v>45924</v>
      </c>
      <c r="C152" s="17" t="str">
        <f aca="false">TEXT(B152,"mmm")</f>
        <v>Sep</v>
      </c>
      <c r="D152" s="20" t="s">
        <v>50</v>
      </c>
      <c r="E152" s="20" t="s">
        <v>51</v>
      </c>
      <c r="F152" s="20" t="s">
        <v>38</v>
      </c>
      <c r="G152" s="22" t="n">
        <v>7463.97</v>
      </c>
      <c r="H152" s="22" t="n">
        <v>7385.53</v>
      </c>
      <c r="I152" s="23" t="n">
        <f aca="false">H152-G152</f>
        <v>-78.4400000000005</v>
      </c>
      <c r="J152" s="20" t="s">
        <v>23</v>
      </c>
      <c r="K152" s="20" t="n">
        <v>44</v>
      </c>
    </row>
    <row r="153" customFormat="false" ht="15" hidden="false" customHeight="true" outlineLevel="0" collapsed="false">
      <c r="A153" s="20" t="s">
        <v>201</v>
      </c>
      <c r="B153" s="21" t="n">
        <v>45713</v>
      </c>
      <c r="C153" s="17" t="str">
        <f aca="false">TEXT(B153,"mmm")</f>
        <v>Feb</v>
      </c>
      <c r="D153" s="20" t="s">
        <v>37</v>
      </c>
      <c r="E153" s="20" t="s">
        <v>57</v>
      </c>
      <c r="F153" s="20" t="s">
        <v>41</v>
      </c>
      <c r="G153" s="22" t="n">
        <v>552.99</v>
      </c>
      <c r="H153" s="22" t="n">
        <v>437.08</v>
      </c>
      <c r="I153" s="23" t="n">
        <f aca="false">H153-G153</f>
        <v>-115.91</v>
      </c>
      <c r="J153" s="20" t="s">
        <v>23</v>
      </c>
      <c r="K153" s="20" t="n">
        <v>5</v>
      </c>
    </row>
    <row r="154" customFormat="false" ht="15" hidden="false" customHeight="true" outlineLevel="0" collapsed="false">
      <c r="A154" s="20" t="s">
        <v>202</v>
      </c>
      <c r="B154" s="21" t="n">
        <v>45722</v>
      </c>
      <c r="C154" s="17" t="str">
        <f aca="false">TEXT(B154,"mmm")</f>
        <v>Mar</v>
      </c>
      <c r="D154" s="20" t="s">
        <v>50</v>
      </c>
      <c r="E154" s="20" t="s">
        <v>53</v>
      </c>
      <c r="F154" s="20" t="s">
        <v>45</v>
      </c>
      <c r="G154" s="22" t="n">
        <v>649.83</v>
      </c>
      <c r="H154" s="22" t="n">
        <v>681.47</v>
      </c>
      <c r="I154" s="23" t="n">
        <f aca="false">H154-G154</f>
        <v>31.64</v>
      </c>
      <c r="J154" s="20" t="s">
        <v>23</v>
      </c>
      <c r="K154" s="20" t="n">
        <v>33</v>
      </c>
    </row>
    <row r="155" customFormat="false" ht="15" hidden="false" customHeight="true" outlineLevel="0" collapsed="false">
      <c r="A155" s="20" t="s">
        <v>203</v>
      </c>
      <c r="B155" s="21" t="n">
        <v>45967</v>
      </c>
      <c r="C155" s="17" t="str">
        <f aca="false">TEXT(B155,"mmm")</f>
        <v>Nov</v>
      </c>
      <c r="D155" s="20" t="s">
        <v>37</v>
      </c>
      <c r="E155" s="20" t="s">
        <v>34</v>
      </c>
      <c r="F155" s="20" t="s">
        <v>59</v>
      </c>
      <c r="G155" s="22" t="n">
        <v>1265.94</v>
      </c>
      <c r="H155" s="22" t="n">
        <v>1361.47</v>
      </c>
      <c r="I155" s="23" t="n">
        <f aca="false">H155-G155</f>
        <v>95.53</v>
      </c>
      <c r="J155" s="20" t="s">
        <v>24</v>
      </c>
      <c r="K155" s="20" t="n">
        <v>14</v>
      </c>
    </row>
    <row r="156" customFormat="false" ht="15" hidden="false" customHeight="true" outlineLevel="0" collapsed="false">
      <c r="A156" s="20" t="s">
        <v>204</v>
      </c>
      <c r="B156" s="21" t="n">
        <v>45878</v>
      </c>
      <c r="C156" s="17" t="str">
        <f aca="false">TEXT(B156,"mmm")</f>
        <v>Aug</v>
      </c>
      <c r="D156" s="20" t="s">
        <v>37</v>
      </c>
      <c r="E156" s="20" t="s">
        <v>40</v>
      </c>
      <c r="F156" s="20" t="s">
        <v>62</v>
      </c>
      <c r="G156" s="22" t="n">
        <v>2816.76</v>
      </c>
      <c r="H156" s="22" t="n">
        <v>2751.27</v>
      </c>
      <c r="I156" s="23" t="n">
        <f aca="false">H156-G156</f>
        <v>-65.4900000000002</v>
      </c>
      <c r="J156" s="20" t="s">
        <v>23</v>
      </c>
      <c r="K156" s="20" t="n">
        <v>7</v>
      </c>
    </row>
    <row r="157" customFormat="false" ht="15" hidden="false" customHeight="true" outlineLevel="0" collapsed="false">
      <c r="A157" s="20" t="s">
        <v>205</v>
      </c>
      <c r="B157" s="21" t="n">
        <v>45818</v>
      </c>
      <c r="C157" s="17" t="str">
        <f aca="false">TEXT(B157,"mmm")</f>
        <v>Jun</v>
      </c>
      <c r="D157" s="20" t="s">
        <v>37</v>
      </c>
      <c r="E157" s="20" t="s">
        <v>43</v>
      </c>
      <c r="F157" s="20" t="s">
        <v>35</v>
      </c>
      <c r="G157" s="22" t="n">
        <v>2230.66</v>
      </c>
      <c r="H157" s="22" t="n">
        <v>1843.24</v>
      </c>
      <c r="I157" s="23" t="n">
        <f aca="false">H157-G157</f>
        <v>-387.42</v>
      </c>
      <c r="J157" s="20" t="s">
        <v>25</v>
      </c>
      <c r="K157" s="20" t="n">
        <v>5</v>
      </c>
    </row>
    <row r="158" customFormat="false" ht="15" hidden="false" customHeight="true" outlineLevel="0" collapsed="false">
      <c r="A158" s="20" t="s">
        <v>206</v>
      </c>
      <c r="B158" s="21" t="n">
        <v>45704</v>
      </c>
      <c r="C158" s="17" t="str">
        <f aca="false">TEXT(B158,"mmm")</f>
        <v>Feb</v>
      </c>
      <c r="D158" s="20" t="s">
        <v>33</v>
      </c>
      <c r="E158" s="20" t="s">
        <v>34</v>
      </c>
      <c r="F158" s="20" t="s">
        <v>62</v>
      </c>
      <c r="G158" s="22" t="n">
        <v>3454.14</v>
      </c>
      <c r="H158" s="22" t="n">
        <v>3866.56</v>
      </c>
      <c r="I158" s="23" t="n">
        <f aca="false">H158-G158</f>
        <v>412.42</v>
      </c>
      <c r="J158" s="20" t="s">
        <v>24</v>
      </c>
      <c r="K158" s="20" t="n">
        <v>36</v>
      </c>
    </row>
    <row r="159" customFormat="false" ht="15" hidden="false" customHeight="true" outlineLevel="0" collapsed="false">
      <c r="A159" s="20" t="s">
        <v>207</v>
      </c>
      <c r="B159" s="21" t="n">
        <v>45688</v>
      </c>
      <c r="C159" s="17" t="str">
        <f aca="false">TEXT(B159,"mmm")</f>
        <v>Jan</v>
      </c>
      <c r="D159" s="20" t="s">
        <v>50</v>
      </c>
      <c r="E159" s="20" t="s">
        <v>57</v>
      </c>
      <c r="F159" s="20" t="s">
        <v>59</v>
      </c>
      <c r="G159" s="22" t="n">
        <v>1213.33</v>
      </c>
      <c r="H159" s="22" t="n">
        <v>1439.98</v>
      </c>
      <c r="I159" s="23" t="n">
        <f aca="false">H159-G159</f>
        <v>226.65</v>
      </c>
      <c r="J159" s="20" t="s">
        <v>25</v>
      </c>
      <c r="K159" s="20" t="n">
        <v>28</v>
      </c>
    </row>
    <row r="160" customFormat="false" ht="15" hidden="false" customHeight="true" outlineLevel="0" collapsed="false">
      <c r="A160" s="20" t="s">
        <v>208</v>
      </c>
      <c r="B160" s="21" t="n">
        <v>45684</v>
      </c>
      <c r="C160" s="17" t="str">
        <f aca="false">TEXT(B160,"mmm")</f>
        <v>Jan</v>
      </c>
      <c r="D160" s="20" t="s">
        <v>50</v>
      </c>
      <c r="E160" s="20" t="s">
        <v>53</v>
      </c>
      <c r="F160" s="20" t="s">
        <v>35</v>
      </c>
      <c r="G160" s="22" t="n">
        <v>2471.56</v>
      </c>
      <c r="H160" s="22" t="n">
        <v>2567.85</v>
      </c>
      <c r="I160" s="23" t="n">
        <f aca="false">H160-G160</f>
        <v>96.29</v>
      </c>
      <c r="J160" s="20" t="s">
        <v>23</v>
      </c>
      <c r="K160" s="20" t="n">
        <v>43</v>
      </c>
    </row>
    <row r="161" customFormat="false" ht="15" hidden="false" customHeight="true" outlineLevel="0" collapsed="false">
      <c r="A161" s="20" t="s">
        <v>209</v>
      </c>
      <c r="B161" s="21" t="n">
        <v>45904</v>
      </c>
      <c r="C161" s="17" t="str">
        <f aca="false">TEXT(B161,"mmm")</f>
        <v>Sep</v>
      </c>
      <c r="D161" s="20" t="s">
        <v>56</v>
      </c>
      <c r="E161" s="20" t="s">
        <v>34</v>
      </c>
      <c r="F161" s="20" t="s">
        <v>45</v>
      </c>
      <c r="G161" s="22" t="n">
        <v>845.04</v>
      </c>
      <c r="H161" s="22" t="n">
        <v>789.08</v>
      </c>
      <c r="I161" s="23" t="n">
        <f aca="false">H161-G161</f>
        <v>-55.9599999999999</v>
      </c>
      <c r="J161" s="20" t="s">
        <v>24</v>
      </c>
      <c r="K161" s="20" t="n">
        <v>37</v>
      </c>
    </row>
    <row r="162" customFormat="false" ht="15" hidden="false" customHeight="true" outlineLevel="0" collapsed="false">
      <c r="A162" s="20" t="s">
        <v>210</v>
      </c>
      <c r="B162" s="21" t="n">
        <v>45773</v>
      </c>
      <c r="C162" s="17" t="str">
        <f aca="false">TEXT(B162,"mmm")</f>
        <v>Apr</v>
      </c>
      <c r="D162" s="20" t="s">
        <v>37</v>
      </c>
      <c r="E162" s="20" t="s">
        <v>53</v>
      </c>
      <c r="F162" s="20" t="s">
        <v>38</v>
      </c>
      <c r="G162" s="22" t="n">
        <v>8262.5</v>
      </c>
      <c r="H162" s="22" t="n">
        <v>8914.54</v>
      </c>
      <c r="I162" s="23" t="n">
        <f aca="false">H162-G162</f>
        <v>652.040000000001</v>
      </c>
      <c r="J162" s="20" t="s">
        <v>23</v>
      </c>
      <c r="K162" s="20" t="n">
        <v>2</v>
      </c>
    </row>
    <row r="163" customFormat="false" ht="15" hidden="false" customHeight="true" outlineLevel="0" collapsed="false">
      <c r="A163" s="20" t="s">
        <v>211</v>
      </c>
      <c r="B163" s="21" t="n">
        <v>45750</v>
      </c>
      <c r="C163" s="17" t="str">
        <f aca="false">TEXT(B163,"mmm")</f>
        <v>Apr</v>
      </c>
      <c r="D163" s="20" t="s">
        <v>50</v>
      </c>
      <c r="E163" s="20" t="s">
        <v>57</v>
      </c>
      <c r="F163" s="20" t="s">
        <v>35</v>
      </c>
      <c r="G163" s="22" t="n">
        <v>3012.96</v>
      </c>
      <c r="H163" s="22" t="n">
        <v>2788.53</v>
      </c>
      <c r="I163" s="23" t="n">
        <f aca="false">H163-G163</f>
        <v>-224.43</v>
      </c>
      <c r="J163" s="20" t="s">
        <v>23</v>
      </c>
      <c r="K163" s="20" t="n">
        <v>10</v>
      </c>
    </row>
    <row r="164" customFormat="false" ht="15" hidden="false" customHeight="true" outlineLevel="0" collapsed="false">
      <c r="A164" s="20" t="s">
        <v>212</v>
      </c>
      <c r="B164" s="21" t="n">
        <v>45947</v>
      </c>
      <c r="C164" s="17" t="str">
        <f aca="false">TEXT(B164,"mmm")</f>
        <v>Oct</v>
      </c>
      <c r="D164" s="20" t="s">
        <v>37</v>
      </c>
      <c r="E164" s="20" t="s">
        <v>34</v>
      </c>
      <c r="F164" s="20" t="s">
        <v>54</v>
      </c>
      <c r="G164" s="22" t="n">
        <v>915.24</v>
      </c>
      <c r="H164" s="22" t="n">
        <v>1131.15</v>
      </c>
      <c r="I164" s="23" t="n">
        <f aca="false">H164-G164</f>
        <v>215.91</v>
      </c>
      <c r="J164" s="20" t="s">
        <v>23</v>
      </c>
      <c r="K164" s="20" t="n">
        <v>34</v>
      </c>
    </row>
    <row r="165" customFormat="false" ht="15" hidden="false" customHeight="true" outlineLevel="0" collapsed="false">
      <c r="A165" s="20" t="s">
        <v>213</v>
      </c>
      <c r="B165" s="21" t="n">
        <v>45768</v>
      </c>
      <c r="C165" s="17" t="str">
        <f aca="false">TEXT(B165,"mmm")</f>
        <v>Apr</v>
      </c>
      <c r="D165" s="20" t="s">
        <v>37</v>
      </c>
      <c r="E165" s="20" t="s">
        <v>51</v>
      </c>
      <c r="F165" s="20" t="s">
        <v>41</v>
      </c>
      <c r="G165" s="22" t="n">
        <v>616.63</v>
      </c>
      <c r="H165" s="22" t="n">
        <v>576.57</v>
      </c>
      <c r="I165" s="23" t="n">
        <f aca="false">H165-G165</f>
        <v>-40.0599999999999</v>
      </c>
      <c r="J165" s="20" t="s">
        <v>24</v>
      </c>
      <c r="K165" s="20" t="n">
        <v>37</v>
      </c>
    </row>
    <row r="166" customFormat="false" ht="15" hidden="false" customHeight="true" outlineLevel="0" collapsed="false">
      <c r="A166" s="20" t="s">
        <v>214</v>
      </c>
      <c r="B166" s="21" t="n">
        <v>45963</v>
      </c>
      <c r="C166" s="17" t="str">
        <f aca="false">TEXT(B166,"mmm")</f>
        <v>Nov</v>
      </c>
      <c r="D166" s="20" t="s">
        <v>33</v>
      </c>
      <c r="E166" s="20" t="s">
        <v>34</v>
      </c>
      <c r="F166" s="20" t="s">
        <v>54</v>
      </c>
      <c r="G166" s="22" t="n">
        <v>996.67</v>
      </c>
      <c r="H166" s="22" t="n">
        <v>1055.39</v>
      </c>
      <c r="I166" s="23" t="n">
        <f aca="false">H166-G166</f>
        <v>58.7200000000001</v>
      </c>
      <c r="J166" s="20" t="s">
        <v>23</v>
      </c>
      <c r="K166" s="20" t="n">
        <v>18</v>
      </c>
    </row>
    <row r="167" customFormat="false" ht="15" hidden="false" customHeight="true" outlineLevel="0" collapsed="false">
      <c r="A167" s="20" t="s">
        <v>215</v>
      </c>
      <c r="B167" s="21" t="n">
        <v>45884</v>
      </c>
      <c r="C167" s="17" t="str">
        <f aca="false">TEXT(B167,"mmm")</f>
        <v>Aug</v>
      </c>
      <c r="D167" s="20" t="s">
        <v>37</v>
      </c>
      <c r="E167" s="20" t="s">
        <v>51</v>
      </c>
      <c r="F167" s="20" t="s">
        <v>41</v>
      </c>
      <c r="G167" s="22" t="n">
        <v>634.08</v>
      </c>
      <c r="H167" s="22" t="n">
        <v>543.9</v>
      </c>
      <c r="I167" s="23" t="n">
        <f aca="false">H167-G167</f>
        <v>-90.1800000000001</v>
      </c>
      <c r="J167" s="20" t="s">
        <v>23</v>
      </c>
      <c r="K167" s="20" t="n">
        <v>23</v>
      </c>
    </row>
    <row r="168" customFormat="false" ht="15" hidden="false" customHeight="true" outlineLevel="0" collapsed="false">
      <c r="A168" s="20" t="s">
        <v>216</v>
      </c>
      <c r="B168" s="21" t="n">
        <v>45878</v>
      </c>
      <c r="C168" s="17" t="str">
        <f aca="false">TEXT(B168,"mmm")</f>
        <v>Aug</v>
      </c>
      <c r="D168" s="20" t="s">
        <v>33</v>
      </c>
      <c r="E168" s="20" t="s">
        <v>43</v>
      </c>
      <c r="F168" s="20" t="s">
        <v>41</v>
      </c>
      <c r="G168" s="22" t="n">
        <v>894.17</v>
      </c>
      <c r="H168" s="22" t="n">
        <v>808.52</v>
      </c>
      <c r="I168" s="23" t="n">
        <f aca="false">H168-G168</f>
        <v>-85.65</v>
      </c>
      <c r="J168" s="20" t="s">
        <v>23</v>
      </c>
      <c r="K168" s="20" t="n">
        <v>39</v>
      </c>
    </row>
    <row r="169" customFormat="false" ht="15" hidden="false" customHeight="true" outlineLevel="0" collapsed="false">
      <c r="A169" s="20" t="s">
        <v>217</v>
      </c>
      <c r="B169" s="21" t="n">
        <v>45686</v>
      </c>
      <c r="C169" s="17" t="str">
        <f aca="false">TEXT(B169,"mmm")</f>
        <v>Jan</v>
      </c>
      <c r="D169" s="20" t="s">
        <v>33</v>
      </c>
      <c r="E169" s="20" t="s">
        <v>40</v>
      </c>
      <c r="F169" s="20" t="s">
        <v>35</v>
      </c>
      <c r="G169" s="22" t="n">
        <v>3674.62</v>
      </c>
      <c r="H169" s="22" t="n">
        <v>4165.82</v>
      </c>
      <c r="I169" s="23" t="n">
        <f aca="false">H169-G169</f>
        <v>491.2</v>
      </c>
      <c r="J169" s="20" t="s">
        <v>24</v>
      </c>
      <c r="K169" s="20" t="n">
        <v>19</v>
      </c>
    </row>
    <row r="170" customFormat="false" ht="15" hidden="false" customHeight="true" outlineLevel="0" collapsed="false">
      <c r="A170" s="20" t="s">
        <v>218</v>
      </c>
      <c r="B170" s="21" t="n">
        <v>45825</v>
      </c>
      <c r="C170" s="17" t="str">
        <f aca="false">TEXT(B170,"mmm")</f>
        <v>Jun</v>
      </c>
      <c r="D170" s="20" t="s">
        <v>33</v>
      </c>
      <c r="E170" s="20" t="s">
        <v>34</v>
      </c>
      <c r="F170" s="20" t="s">
        <v>41</v>
      </c>
      <c r="G170" s="22" t="n">
        <v>965.04</v>
      </c>
      <c r="H170" s="22" t="n">
        <v>808.56</v>
      </c>
      <c r="I170" s="23" t="n">
        <f aca="false">H170-G170</f>
        <v>-156.48</v>
      </c>
      <c r="J170" s="20" t="s">
        <v>23</v>
      </c>
      <c r="K170" s="20" t="n">
        <v>15</v>
      </c>
    </row>
    <row r="171" customFormat="false" ht="15" hidden="false" customHeight="true" outlineLevel="0" collapsed="false">
      <c r="A171" s="20" t="s">
        <v>219</v>
      </c>
      <c r="B171" s="21" t="n">
        <v>45914</v>
      </c>
      <c r="C171" s="17" t="str">
        <f aca="false">TEXT(B171,"mmm")</f>
        <v>Sep</v>
      </c>
      <c r="D171" s="20" t="s">
        <v>50</v>
      </c>
      <c r="E171" s="20" t="s">
        <v>34</v>
      </c>
      <c r="F171" s="20" t="s">
        <v>62</v>
      </c>
      <c r="G171" s="22" t="n">
        <v>3783.91</v>
      </c>
      <c r="H171" s="22" t="n">
        <v>2917.97</v>
      </c>
      <c r="I171" s="23" t="n">
        <f aca="false">H171-G171</f>
        <v>-865.94</v>
      </c>
      <c r="J171" s="20" t="s">
        <v>23</v>
      </c>
      <c r="K171" s="20" t="n">
        <v>5</v>
      </c>
    </row>
    <row r="172" customFormat="false" ht="15" hidden="false" customHeight="true" outlineLevel="0" collapsed="false">
      <c r="A172" s="20" t="s">
        <v>220</v>
      </c>
      <c r="B172" s="21" t="n">
        <v>45818</v>
      </c>
      <c r="C172" s="17" t="str">
        <f aca="false">TEXT(B172,"mmm")</f>
        <v>Jun</v>
      </c>
      <c r="D172" s="20" t="s">
        <v>37</v>
      </c>
      <c r="E172" s="20" t="s">
        <v>53</v>
      </c>
      <c r="F172" s="20" t="s">
        <v>62</v>
      </c>
      <c r="G172" s="22" t="n">
        <v>3219.93</v>
      </c>
      <c r="H172" s="22" t="n">
        <v>3087.42</v>
      </c>
      <c r="I172" s="23" t="n">
        <f aca="false">H172-G172</f>
        <v>-132.51</v>
      </c>
      <c r="J172" s="20" t="s">
        <v>23</v>
      </c>
      <c r="K172" s="20" t="n">
        <v>2</v>
      </c>
    </row>
    <row r="173" customFormat="false" ht="15" hidden="false" customHeight="true" outlineLevel="0" collapsed="false">
      <c r="A173" s="20" t="s">
        <v>221</v>
      </c>
      <c r="B173" s="21" t="n">
        <v>45824</v>
      </c>
      <c r="C173" s="17" t="str">
        <f aca="false">TEXT(B173,"mmm")</f>
        <v>Jun</v>
      </c>
      <c r="D173" s="20" t="s">
        <v>56</v>
      </c>
      <c r="E173" s="20" t="s">
        <v>53</v>
      </c>
      <c r="F173" s="20" t="s">
        <v>41</v>
      </c>
      <c r="G173" s="22" t="n">
        <v>906.12</v>
      </c>
      <c r="H173" s="22" t="n">
        <v>1096.3</v>
      </c>
      <c r="I173" s="23" t="n">
        <f aca="false">H173-G173</f>
        <v>190.18</v>
      </c>
      <c r="J173" s="20" t="s">
        <v>23</v>
      </c>
      <c r="K173" s="20" t="n">
        <v>7</v>
      </c>
    </row>
    <row r="174" customFormat="false" ht="15" hidden="false" customHeight="true" outlineLevel="0" collapsed="false">
      <c r="A174" s="20" t="s">
        <v>222</v>
      </c>
      <c r="B174" s="21" t="n">
        <v>45782</v>
      </c>
      <c r="C174" s="17" t="str">
        <f aca="false">TEXT(B174,"mmm")</f>
        <v>May</v>
      </c>
      <c r="D174" s="20" t="s">
        <v>37</v>
      </c>
      <c r="E174" s="20" t="s">
        <v>53</v>
      </c>
      <c r="F174" s="20" t="s">
        <v>62</v>
      </c>
      <c r="G174" s="22" t="n">
        <v>3018.07</v>
      </c>
      <c r="H174" s="22" t="n">
        <v>2860.78</v>
      </c>
      <c r="I174" s="23" t="n">
        <f aca="false">H174-G174</f>
        <v>-157.29</v>
      </c>
      <c r="J174" s="20" t="s">
        <v>23</v>
      </c>
      <c r="K174" s="20" t="n">
        <v>22</v>
      </c>
    </row>
    <row r="175" customFormat="false" ht="15" hidden="false" customHeight="true" outlineLevel="0" collapsed="false">
      <c r="A175" s="20" t="s">
        <v>223</v>
      </c>
      <c r="B175" s="21" t="n">
        <v>45771</v>
      </c>
      <c r="C175" s="17" t="str">
        <f aca="false">TEXT(B175,"mmm")</f>
        <v>Apr</v>
      </c>
      <c r="D175" s="20" t="s">
        <v>50</v>
      </c>
      <c r="E175" s="20" t="s">
        <v>40</v>
      </c>
      <c r="F175" s="20" t="s">
        <v>59</v>
      </c>
      <c r="G175" s="22" t="n">
        <v>1258.78</v>
      </c>
      <c r="H175" s="22" t="n">
        <v>1015.85</v>
      </c>
      <c r="I175" s="23" t="n">
        <f aca="false">H175-G175</f>
        <v>-242.93</v>
      </c>
      <c r="J175" s="20" t="s">
        <v>23</v>
      </c>
      <c r="K175" s="20" t="n">
        <v>23</v>
      </c>
    </row>
    <row r="176" customFormat="false" ht="15" hidden="false" customHeight="true" outlineLevel="0" collapsed="false">
      <c r="A176" s="20" t="s">
        <v>224</v>
      </c>
      <c r="B176" s="21" t="n">
        <v>45837</v>
      </c>
      <c r="C176" s="17" t="str">
        <f aca="false">TEXT(B176,"mmm")</f>
        <v>Jun</v>
      </c>
      <c r="D176" s="20" t="s">
        <v>56</v>
      </c>
      <c r="E176" s="20" t="s">
        <v>40</v>
      </c>
      <c r="F176" s="20" t="s">
        <v>59</v>
      </c>
      <c r="G176" s="22" t="n">
        <v>1207.81</v>
      </c>
      <c r="H176" s="22" t="n">
        <v>1024.99</v>
      </c>
      <c r="I176" s="23" t="n">
        <f aca="false">H176-G176</f>
        <v>-182.82</v>
      </c>
      <c r="J176" s="20" t="s">
        <v>23</v>
      </c>
      <c r="K176" s="20" t="n">
        <v>42</v>
      </c>
    </row>
    <row r="177" customFormat="false" ht="15" hidden="false" customHeight="true" outlineLevel="0" collapsed="false">
      <c r="A177" s="20" t="s">
        <v>225</v>
      </c>
      <c r="B177" s="21" t="n">
        <v>45696</v>
      </c>
      <c r="C177" s="17" t="str">
        <f aca="false">TEXT(B177,"mmm")</f>
        <v>Feb</v>
      </c>
      <c r="D177" s="20" t="s">
        <v>56</v>
      </c>
      <c r="E177" s="20" t="s">
        <v>57</v>
      </c>
      <c r="F177" s="20" t="s">
        <v>41</v>
      </c>
      <c r="G177" s="22" t="n">
        <v>797.9</v>
      </c>
      <c r="H177" s="22" t="n">
        <v>823.33</v>
      </c>
      <c r="I177" s="23" t="n">
        <f aca="false">H177-G177</f>
        <v>25.4300000000001</v>
      </c>
      <c r="J177" s="20" t="s">
        <v>23</v>
      </c>
      <c r="K177" s="20" t="n">
        <v>44</v>
      </c>
    </row>
    <row r="178" customFormat="false" ht="15" hidden="false" customHeight="true" outlineLevel="0" collapsed="false">
      <c r="A178" s="20" t="s">
        <v>226</v>
      </c>
      <c r="B178" s="21" t="n">
        <v>45947</v>
      </c>
      <c r="C178" s="17" t="str">
        <f aca="false">TEXT(B178,"mmm")</f>
        <v>Oct</v>
      </c>
      <c r="D178" s="20" t="s">
        <v>50</v>
      </c>
      <c r="E178" s="20" t="s">
        <v>57</v>
      </c>
      <c r="F178" s="20" t="s">
        <v>45</v>
      </c>
      <c r="G178" s="22" t="n">
        <v>593.04</v>
      </c>
      <c r="H178" s="22" t="n">
        <v>465.03</v>
      </c>
      <c r="I178" s="23" t="n">
        <f aca="false">H178-G178</f>
        <v>-128.01</v>
      </c>
      <c r="J178" s="20" t="s">
        <v>23</v>
      </c>
      <c r="K178" s="20" t="n">
        <v>20</v>
      </c>
    </row>
    <row r="179" customFormat="false" ht="15" hidden="false" customHeight="true" outlineLevel="0" collapsed="false">
      <c r="A179" s="20" t="s">
        <v>227</v>
      </c>
      <c r="B179" s="21" t="n">
        <v>45798</v>
      </c>
      <c r="C179" s="17" t="str">
        <f aca="false">TEXT(B179,"mmm")</f>
        <v>May</v>
      </c>
      <c r="D179" s="20" t="s">
        <v>33</v>
      </c>
      <c r="E179" s="20" t="s">
        <v>43</v>
      </c>
      <c r="F179" s="20" t="s">
        <v>59</v>
      </c>
      <c r="G179" s="22" t="n">
        <v>1413.35</v>
      </c>
      <c r="H179" s="22" t="n">
        <v>1379.37</v>
      </c>
      <c r="I179" s="23" t="n">
        <f aca="false">H179-G179</f>
        <v>-33.98</v>
      </c>
      <c r="J179" s="20" t="s">
        <v>23</v>
      </c>
      <c r="K179" s="20" t="n">
        <v>19</v>
      </c>
    </row>
    <row r="180" customFormat="false" ht="15" hidden="false" customHeight="true" outlineLevel="0" collapsed="false">
      <c r="A180" s="20" t="s">
        <v>228</v>
      </c>
      <c r="B180" s="21" t="n">
        <v>45697</v>
      </c>
      <c r="C180" s="17" t="str">
        <f aca="false">TEXT(B180,"mmm")</f>
        <v>Feb</v>
      </c>
      <c r="D180" s="20" t="s">
        <v>33</v>
      </c>
      <c r="E180" s="20" t="s">
        <v>53</v>
      </c>
      <c r="F180" s="20" t="s">
        <v>62</v>
      </c>
      <c r="G180" s="22" t="n">
        <v>3993.11</v>
      </c>
      <c r="H180" s="22" t="n">
        <v>4101.56</v>
      </c>
      <c r="I180" s="23" t="n">
        <f aca="false">H180-G180</f>
        <v>108.45</v>
      </c>
      <c r="J180" s="20" t="s">
        <v>24</v>
      </c>
      <c r="K180" s="20" t="n">
        <v>3</v>
      </c>
    </row>
    <row r="181" customFormat="false" ht="15" hidden="false" customHeight="true" outlineLevel="0" collapsed="false">
      <c r="A181" s="20" t="s">
        <v>229</v>
      </c>
      <c r="B181" s="21" t="n">
        <v>45888</v>
      </c>
      <c r="C181" s="17" t="str">
        <f aca="false">TEXT(B181,"mmm")</f>
        <v>Aug</v>
      </c>
      <c r="D181" s="20" t="s">
        <v>56</v>
      </c>
      <c r="E181" s="20" t="s">
        <v>43</v>
      </c>
      <c r="F181" s="20" t="s">
        <v>41</v>
      </c>
      <c r="G181" s="22" t="n">
        <v>808.9</v>
      </c>
      <c r="H181" s="22" t="n">
        <v>994.03</v>
      </c>
      <c r="I181" s="23" t="n">
        <f aca="false">H181-G181</f>
        <v>185.13</v>
      </c>
      <c r="J181" s="20" t="s">
        <v>23</v>
      </c>
      <c r="K181" s="20" t="n">
        <v>22</v>
      </c>
    </row>
    <row r="182" customFormat="false" ht="15" hidden="false" customHeight="true" outlineLevel="0" collapsed="false">
      <c r="A182" s="20" t="s">
        <v>230</v>
      </c>
      <c r="B182" s="21" t="n">
        <v>45701</v>
      </c>
      <c r="C182" s="17" t="str">
        <f aca="false">TEXT(B182,"mmm")</f>
        <v>Feb</v>
      </c>
      <c r="D182" s="20" t="s">
        <v>56</v>
      </c>
      <c r="E182" s="20" t="s">
        <v>34</v>
      </c>
      <c r="F182" s="20" t="s">
        <v>48</v>
      </c>
      <c r="G182" s="22" t="n">
        <v>372.66</v>
      </c>
      <c r="H182" s="22" t="n">
        <v>464.15</v>
      </c>
      <c r="I182" s="23" t="n">
        <f aca="false">H182-G182</f>
        <v>91.49</v>
      </c>
      <c r="J182" s="20" t="s">
        <v>23</v>
      </c>
      <c r="K182" s="20" t="n">
        <v>40</v>
      </c>
    </row>
    <row r="183" customFormat="false" ht="15" hidden="false" customHeight="true" outlineLevel="0" collapsed="false">
      <c r="A183" s="20" t="s">
        <v>231</v>
      </c>
      <c r="B183" s="21" t="n">
        <v>45739</v>
      </c>
      <c r="C183" s="17" t="str">
        <f aca="false">TEXT(B183,"mmm")</f>
        <v>Mar</v>
      </c>
      <c r="D183" s="20" t="s">
        <v>50</v>
      </c>
      <c r="E183" s="20" t="s">
        <v>43</v>
      </c>
      <c r="F183" s="20" t="s">
        <v>35</v>
      </c>
      <c r="G183" s="22" t="n">
        <v>2505.55</v>
      </c>
      <c r="H183" s="22" t="n">
        <v>2849.39</v>
      </c>
      <c r="I183" s="23" t="n">
        <f aca="false">H183-G183</f>
        <v>343.84</v>
      </c>
      <c r="J183" s="20" t="s">
        <v>23</v>
      </c>
      <c r="K183" s="20" t="n">
        <v>4</v>
      </c>
    </row>
    <row r="184" customFormat="false" ht="15" hidden="false" customHeight="true" outlineLevel="0" collapsed="false">
      <c r="A184" s="20" t="s">
        <v>232</v>
      </c>
      <c r="B184" s="21" t="n">
        <v>45981</v>
      </c>
      <c r="C184" s="17" t="str">
        <f aca="false">TEXT(B184,"mmm")</f>
        <v>Nov</v>
      </c>
      <c r="D184" s="20" t="s">
        <v>50</v>
      </c>
      <c r="E184" s="20" t="s">
        <v>34</v>
      </c>
      <c r="F184" s="20" t="s">
        <v>45</v>
      </c>
      <c r="G184" s="22" t="n">
        <v>579.09</v>
      </c>
      <c r="H184" s="22" t="n">
        <v>630.74</v>
      </c>
      <c r="I184" s="23" t="n">
        <f aca="false">H184-G184</f>
        <v>51.65</v>
      </c>
      <c r="J184" s="20" t="s">
        <v>23</v>
      </c>
      <c r="K184" s="20" t="n">
        <v>43</v>
      </c>
    </row>
    <row r="185" customFormat="false" ht="15" hidden="false" customHeight="true" outlineLevel="0" collapsed="false">
      <c r="A185" s="20" t="s">
        <v>233</v>
      </c>
      <c r="B185" s="21" t="n">
        <v>45966</v>
      </c>
      <c r="C185" s="17" t="str">
        <f aca="false">TEXT(B185,"mmm")</f>
        <v>Nov</v>
      </c>
      <c r="D185" s="20" t="s">
        <v>56</v>
      </c>
      <c r="E185" s="20" t="s">
        <v>43</v>
      </c>
      <c r="F185" s="20" t="s">
        <v>59</v>
      </c>
      <c r="G185" s="22" t="n">
        <v>1427.7</v>
      </c>
      <c r="H185" s="22" t="n">
        <v>1171.73</v>
      </c>
      <c r="I185" s="23" t="n">
        <f aca="false">H185-G185</f>
        <v>-255.97</v>
      </c>
      <c r="J185" s="20" t="s">
        <v>23</v>
      </c>
      <c r="K185" s="20" t="n">
        <v>42</v>
      </c>
    </row>
    <row r="186" customFormat="false" ht="15" hidden="false" customHeight="true" outlineLevel="0" collapsed="false">
      <c r="A186" s="20" t="s">
        <v>234</v>
      </c>
      <c r="B186" s="21" t="n">
        <v>46015</v>
      </c>
      <c r="C186" s="17" t="str">
        <f aca="false">TEXT(B186,"mmm")</f>
        <v>Dec</v>
      </c>
      <c r="D186" s="20" t="s">
        <v>37</v>
      </c>
      <c r="E186" s="20" t="s">
        <v>40</v>
      </c>
      <c r="F186" s="20" t="s">
        <v>59</v>
      </c>
      <c r="G186" s="22" t="n">
        <v>1044.31</v>
      </c>
      <c r="H186" s="22" t="n">
        <v>979.92</v>
      </c>
      <c r="I186" s="23" t="n">
        <f aca="false">H186-G186</f>
        <v>-64.39</v>
      </c>
      <c r="J186" s="20" t="s">
        <v>24</v>
      </c>
      <c r="K186" s="20" t="n">
        <v>9</v>
      </c>
    </row>
    <row r="187" customFormat="false" ht="15" hidden="false" customHeight="true" outlineLevel="0" collapsed="false">
      <c r="A187" s="20" t="s">
        <v>235</v>
      </c>
      <c r="B187" s="21" t="n">
        <v>46001</v>
      </c>
      <c r="C187" s="17" t="str">
        <f aca="false">TEXT(B187,"mmm")</f>
        <v>Dec</v>
      </c>
      <c r="D187" s="20" t="s">
        <v>33</v>
      </c>
      <c r="E187" s="20" t="s">
        <v>57</v>
      </c>
      <c r="F187" s="20" t="s">
        <v>62</v>
      </c>
      <c r="G187" s="22" t="n">
        <v>4060.5</v>
      </c>
      <c r="H187" s="22" t="n">
        <v>3082.39</v>
      </c>
      <c r="I187" s="23" t="n">
        <f aca="false">H187-G187</f>
        <v>-978.11</v>
      </c>
      <c r="J187" s="20" t="s">
        <v>23</v>
      </c>
      <c r="K187" s="20" t="n">
        <v>14</v>
      </c>
    </row>
    <row r="188" customFormat="false" ht="15" hidden="false" customHeight="true" outlineLevel="0" collapsed="false">
      <c r="A188" s="20" t="s">
        <v>236</v>
      </c>
      <c r="B188" s="21" t="n">
        <v>45832</v>
      </c>
      <c r="C188" s="17" t="str">
        <f aca="false">TEXT(B188,"mmm")</f>
        <v>Jun</v>
      </c>
      <c r="D188" s="20" t="s">
        <v>37</v>
      </c>
      <c r="E188" s="20" t="s">
        <v>40</v>
      </c>
      <c r="F188" s="20" t="s">
        <v>48</v>
      </c>
      <c r="G188" s="22" t="n">
        <v>331.5</v>
      </c>
      <c r="H188" s="22" t="n">
        <v>274.31</v>
      </c>
      <c r="I188" s="23" t="n">
        <f aca="false">H188-G188</f>
        <v>-57.19</v>
      </c>
      <c r="J188" s="20" t="s">
        <v>23</v>
      </c>
      <c r="K188" s="20" t="n">
        <v>7</v>
      </c>
    </row>
    <row r="189" customFormat="false" ht="15" hidden="false" customHeight="true" outlineLevel="0" collapsed="false">
      <c r="A189" s="20" t="s">
        <v>237</v>
      </c>
      <c r="B189" s="21" t="n">
        <v>45917</v>
      </c>
      <c r="C189" s="17" t="str">
        <f aca="false">TEXT(B189,"mmm")</f>
        <v>Sep</v>
      </c>
      <c r="D189" s="20" t="s">
        <v>33</v>
      </c>
      <c r="E189" s="20" t="s">
        <v>57</v>
      </c>
      <c r="F189" s="20" t="s">
        <v>45</v>
      </c>
      <c r="G189" s="22" t="n">
        <v>934.79</v>
      </c>
      <c r="H189" s="22" t="n">
        <v>989.96</v>
      </c>
      <c r="I189" s="23" t="n">
        <f aca="false">H189-G189</f>
        <v>55.1700000000001</v>
      </c>
      <c r="J189" s="20" t="s">
        <v>23</v>
      </c>
      <c r="K189" s="20" t="n">
        <v>10</v>
      </c>
    </row>
    <row r="190" customFormat="false" ht="15" hidden="false" customHeight="true" outlineLevel="0" collapsed="false">
      <c r="A190" s="20" t="s">
        <v>238</v>
      </c>
      <c r="B190" s="21" t="n">
        <v>45741</v>
      </c>
      <c r="C190" s="17" t="str">
        <f aca="false">TEXT(B190,"mmm")</f>
        <v>Mar</v>
      </c>
      <c r="D190" s="20" t="s">
        <v>56</v>
      </c>
      <c r="E190" s="20" t="s">
        <v>57</v>
      </c>
      <c r="F190" s="20" t="s">
        <v>54</v>
      </c>
      <c r="G190" s="22" t="n">
        <v>1123.11</v>
      </c>
      <c r="H190" s="22" t="n">
        <v>866.87</v>
      </c>
      <c r="I190" s="23" t="n">
        <f aca="false">H190-G190</f>
        <v>-256.24</v>
      </c>
      <c r="J190" s="20" t="s">
        <v>23</v>
      </c>
      <c r="K190" s="20" t="n">
        <v>16</v>
      </c>
    </row>
    <row r="191" customFormat="false" ht="15" hidden="false" customHeight="true" outlineLevel="0" collapsed="false">
      <c r="A191" s="20" t="s">
        <v>239</v>
      </c>
      <c r="B191" s="21" t="n">
        <v>45885</v>
      </c>
      <c r="C191" s="17" t="str">
        <f aca="false">TEXT(B191,"mmm")</f>
        <v>Aug</v>
      </c>
      <c r="D191" s="20" t="s">
        <v>50</v>
      </c>
      <c r="E191" s="20" t="s">
        <v>57</v>
      </c>
      <c r="F191" s="20" t="s">
        <v>41</v>
      </c>
      <c r="G191" s="22" t="n">
        <v>660.74</v>
      </c>
      <c r="H191" s="22" t="n">
        <v>574.57</v>
      </c>
      <c r="I191" s="23" t="n">
        <f aca="false">H191-G191</f>
        <v>-86.17</v>
      </c>
      <c r="J191" s="20" t="s">
        <v>25</v>
      </c>
      <c r="K191" s="20" t="n">
        <v>31</v>
      </c>
    </row>
    <row r="192" customFormat="false" ht="15" hidden="false" customHeight="true" outlineLevel="0" collapsed="false">
      <c r="A192" s="20" t="s">
        <v>240</v>
      </c>
      <c r="B192" s="21" t="n">
        <v>45757</v>
      </c>
      <c r="C192" s="17" t="str">
        <f aca="false">TEXT(B192,"mmm")</f>
        <v>Apr</v>
      </c>
      <c r="D192" s="20" t="s">
        <v>50</v>
      </c>
      <c r="E192" s="20" t="s">
        <v>57</v>
      </c>
      <c r="F192" s="20" t="s">
        <v>41</v>
      </c>
      <c r="G192" s="22" t="n">
        <v>721.31</v>
      </c>
      <c r="H192" s="22" t="n">
        <v>642.6</v>
      </c>
      <c r="I192" s="23" t="n">
        <f aca="false">H192-G192</f>
        <v>-78.7099999999999</v>
      </c>
      <c r="J192" s="20" t="s">
        <v>23</v>
      </c>
      <c r="K192" s="20" t="n">
        <v>34</v>
      </c>
    </row>
    <row r="193" customFormat="false" ht="15" hidden="false" customHeight="true" outlineLevel="0" collapsed="false">
      <c r="A193" s="20" t="s">
        <v>241</v>
      </c>
      <c r="B193" s="21" t="n">
        <v>45872</v>
      </c>
      <c r="C193" s="17" t="str">
        <f aca="false">TEXT(B193,"mmm")</f>
        <v>Aug</v>
      </c>
      <c r="D193" s="20" t="s">
        <v>56</v>
      </c>
      <c r="E193" s="20" t="s">
        <v>40</v>
      </c>
      <c r="F193" s="20" t="s">
        <v>54</v>
      </c>
      <c r="G193" s="22" t="n">
        <v>1180.49</v>
      </c>
      <c r="H193" s="22" t="n">
        <v>916.17</v>
      </c>
      <c r="I193" s="23" t="n">
        <f aca="false">H193-G193</f>
        <v>-264.32</v>
      </c>
      <c r="J193" s="20" t="s">
        <v>23</v>
      </c>
      <c r="K193" s="20" t="n">
        <v>24</v>
      </c>
    </row>
    <row r="194" customFormat="false" ht="15" hidden="false" customHeight="true" outlineLevel="0" collapsed="false">
      <c r="A194" s="20" t="s">
        <v>242</v>
      </c>
      <c r="B194" s="21" t="n">
        <v>45941</v>
      </c>
      <c r="C194" s="17" t="str">
        <f aca="false">TEXT(B194,"mmm")</f>
        <v>Oct</v>
      </c>
      <c r="D194" s="20" t="s">
        <v>33</v>
      </c>
      <c r="E194" s="20" t="s">
        <v>57</v>
      </c>
      <c r="F194" s="20" t="s">
        <v>59</v>
      </c>
      <c r="G194" s="22" t="n">
        <v>1399.35</v>
      </c>
      <c r="H194" s="22" t="n">
        <v>1583.45</v>
      </c>
      <c r="I194" s="23" t="n">
        <f aca="false">H194-G194</f>
        <v>184.1</v>
      </c>
      <c r="J194" s="20" t="s">
        <v>23</v>
      </c>
      <c r="K194" s="20" t="n">
        <v>33</v>
      </c>
    </row>
    <row r="195" customFormat="false" ht="15" hidden="false" customHeight="true" outlineLevel="0" collapsed="false">
      <c r="A195" s="20" t="s">
        <v>243</v>
      </c>
      <c r="B195" s="21" t="n">
        <v>45733</v>
      </c>
      <c r="C195" s="17" t="str">
        <f aca="false">TEXT(B195,"mmm")</f>
        <v>Mar</v>
      </c>
      <c r="D195" s="20" t="s">
        <v>37</v>
      </c>
      <c r="E195" s="20" t="s">
        <v>34</v>
      </c>
      <c r="F195" s="20" t="s">
        <v>48</v>
      </c>
      <c r="G195" s="22" t="n">
        <v>312.8</v>
      </c>
      <c r="H195" s="22" t="n">
        <v>372.96</v>
      </c>
      <c r="I195" s="23" t="n">
        <f aca="false">H195-G195</f>
        <v>60.16</v>
      </c>
      <c r="J195" s="20" t="s">
        <v>25</v>
      </c>
      <c r="K195" s="20" t="n">
        <v>27</v>
      </c>
    </row>
    <row r="196" customFormat="false" ht="15" hidden="false" customHeight="true" outlineLevel="0" collapsed="false">
      <c r="A196" s="20" t="s">
        <v>244</v>
      </c>
      <c r="B196" s="21" t="n">
        <v>45685</v>
      </c>
      <c r="C196" s="17" t="str">
        <f aca="false">TEXT(B196,"mmm")</f>
        <v>Jan</v>
      </c>
      <c r="D196" s="20" t="s">
        <v>37</v>
      </c>
      <c r="E196" s="20" t="s">
        <v>53</v>
      </c>
      <c r="F196" s="20" t="s">
        <v>45</v>
      </c>
      <c r="G196" s="22" t="n">
        <v>549.36</v>
      </c>
      <c r="H196" s="22" t="n">
        <v>685.2</v>
      </c>
      <c r="I196" s="23" t="n">
        <f aca="false">H196-G196</f>
        <v>135.84</v>
      </c>
      <c r="J196" s="20" t="s">
        <v>23</v>
      </c>
      <c r="K196" s="20" t="n">
        <v>2</v>
      </c>
    </row>
    <row r="197" customFormat="false" ht="15" hidden="false" customHeight="true" outlineLevel="0" collapsed="false">
      <c r="A197" s="20" t="s">
        <v>245</v>
      </c>
      <c r="B197" s="21" t="n">
        <v>45821</v>
      </c>
      <c r="C197" s="17" t="str">
        <f aca="false">TEXT(B197,"mmm")</f>
        <v>Jun</v>
      </c>
      <c r="D197" s="20" t="s">
        <v>33</v>
      </c>
      <c r="E197" s="20" t="s">
        <v>57</v>
      </c>
      <c r="F197" s="20" t="s">
        <v>45</v>
      </c>
      <c r="G197" s="22" t="n">
        <v>909.37</v>
      </c>
      <c r="H197" s="22" t="n">
        <v>744.59</v>
      </c>
      <c r="I197" s="23" t="n">
        <f aca="false">H197-G197</f>
        <v>-164.78</v>
      </c>
      <c r="J197" s="20" t="s">
        <v>23</v>
      </c>
      <c r="K197" s="20" t="n">
        <v>31</v>
      </c>
    </row>
    <row r="198" customFormat="false" ht="15" hidden="false" customHeight="true" outlineLevel="0" collapsed="false">
      <c r="A198" s="20" t="s">
        <v>246</v>
      </c>
      <c r="B198" s="21" t="n">
        <v>46014</v>
      </c>
      <c r="C198" s="17" t="str">
        <f aca="false">TEXT(B198,"mmm")</f>
        <v>Dec</v>
      </c>
      <c r="D198" s="20" t="s">
        <v>56</v>
      </c>
      <c r="E198" s="20" t="s">
        <v>57</v>
      </c>
      <c r="F198" s="20" t="s">
        <v>41</v>
      </c>
      <c r="G198" s="22" t="n">
        <v>793.39</v>
      </c>
      <c r="H198" s="22" t="n">
        <v>597.13</v>
      </c>
      <c r="I198" s="23" t="n">
        <f aca="false">H198-G198</f>
        <v>-196.26</v>
      </c>
      <c r="J198" s="20" t="s">
        <v>23</v>
      </c>
      <c r="K198" s="20" t="n">
        <v>17</v>
      </c>
    </row>
    <row r="199" customFormat="false" ht="15" hidden="false" customHeight="true" outlineLevel="0" collapsed="false">
      <c r="A199" s="20" t="s">
        <v>247</v>
      </c>
      <c r="B199" s="21" t="n">
        <v>45768</v>
      </c>
      <c r="C199" s="17" t="str">
        <f aca="false">TEXT(B199,"mmm")</f>
        <v>Apr</v>
      </c>
      <c r="D199" s="20" t="s">
        <v>56</v>
      </c>
      <c r="E199" s="20" t="s">
        <v>53</v>
      </c>
      <c r="F199" s="20" t="s">
        <v>62</v>
      </c>
      <c r="G199" s="22" t="n">
        <v>3173.44</v>
      </c>
      <c r="H199" s="22" t="n">
        <v>2837.22</v>
      </c>
      <c r="I199" s="23" t="n">
        <f aca="false">H199-G199</f>
        <v>-336.22</v>
      </c>
      <c r="J199" s="20" t="s">
        <v>23</v>
      </c>
      <c r="K199" s="20" t="n">
        <v>4</v>
      </c>
    </row>
    <row r="200" customFormat="false" ht="15" hidden="false" customHeight="true" outlineLevel="0" collapsed="false">
      <c r="A200" s="20" t="s">
        <v>248</v>
      </c>
      <c r="B200" s="21" t="n">
        <v>45780</v>
      </c>
      <c r="C200" s="17" t="str">
        <f aca="false">TEXT(B200,"mmm")</f>
        <v>May</v>
      </c>
      <c r="D200" s="20" t="s">
        <v>37</v>
      </c>
      <c r="E200" s="20" t="s">
        <v>57</v>
      </c>
      <c r="F200" s="20" t="s">
        <v>41</v>
      </c>
      <c r="G200" s="22" t="n">
        <v>550.45</v>
      </c>
      <c r="H200" s="22" t="n">
        <v>643.11</v>
      </c>
      <c r="I200" s="23" t="n">
        <f aca="false">H200-G200</f>
        <v>92.66</v>
      </c>
      <c r="J200" s="20" t="s">
        <v>23</v>
      </c>
      <c r="K200" s="20" t="n">
        <v>35</v>
      </c>
    </row>
    <row r="201" customFormat="false" ht="15" hidden="false" customHeight="true" outlineLevel="0" collapsed="false">
      <c r="A201" s="20" t="s">
        <v>249</v>
      </c>
      <c r="B201" s="21" t="n">
        <v>45666</v>
      </c>
      <c r="C201" s="17" t="str">
        <f aca="false">TEXT(B201,"mmm")</f>
        <v>Jan</v>
      </c>
      <c r="D201" s="20" t="s">
        <v>56</v>
      </c>
      <c r="E201" s="20" t="s">
        <v>57</v>
      </c>
      <c r="F201" s="20" t="s">
        <v>54</v>
      </c>
      <c r="G201" s="22" t="n">
        <v>960.6</v>
      </c>
      <c r="H201" s="22" t="n">
        <v>721.2</v>
      </c>
      <c r="I201" s="23" t="n">
        <f aca="false">H201-G201</f>
        <v>-239.4</v>
      </c>
      <c r="J201" s="20" t="s">
        <v>23</v>
      </c>
      <c r="K201" s="20" t="n">
        <v>37</v>
      </c>
    </row>
    <row r="202" customFormat="false" ht="15" hidden="false" customHeight="true" outlineLevel="0" collapsed="false">
      <c r="A202" s="20" t="s">
        <v>250</v>
      </c>
      <c r="B202" s="21" t="n">
        <v>45871</v>
      </c>
      <c r="C202" s="17" t="str">
        <f aca="false">TEXT(B202,"mmm")</f>
        <v>Aug</v>
      </c>
      <c r="D202" s="20" t="s">
        <v>56</v>
      </c>
      <c r="E202" s="20" t="s">
        <v>57</v>
      </c>
      <c r="F202" s="20" t="s">
        <v>59</v>
      </c>
      <c r="G202" s="22" t="n">
        <v>1397.84</v>
      </c>
      <c r="H202" s="22" t="n">
        <v>1300.41</v>
      </c>
      <c r="I202" s="23" t="n">
        <f aca="false">H202-G202</f>
        <v>-97.4299999999998</v>
      </c>
      <c r="J202" s="20" t="s">
        <v>25</v>
      </c>
      <c r="K202" s="20" t="n">
        <v>35</v>
      </c>
    </row>
    <row r="203" customFormat="false" ht="15" hidden="false" customHeight="true" outlineLevel="0" collapsed="false">
      <c r="A203" s="20" t="s">
        <v>251</v>
      </c>
      <c r="B203" s="21" t="n">
        <v>45917</v>
      </c>
      <c r="C203" s="17" t="str">
        <f aca="false">TEXT(B203,"mmm")</f>
        <v>Sep</v>
      </c>
      <c r="D203" s="20" t="s">
        <v>33</v>
      </c>
      <c r="E203" s="20" t="s">
        <v>51</v>
      </c>
      <c r="F203" s="20" t="s">
        <v>41</v>
      </c>
      <c r="G203" s="22" t="n">
        <v>738.52</v>
      </c>
      <c r="H203" s="22" t="n">
        <v>696.75</v>
      </c>
      <c r="I203" s="23" t="n">
        <f aca="false">H203-G203</f>
        <v>-41.77</v>
      </c>
      <c r="J203" s="20" t="s">
        <v>23</v>
      </c>
      <c r="K203" s="20" t="n">
        <v>2</v>
      </c>
    </row>
    <row r="204" customFormat="false" ht="15" hidden="false" customHeight="true" outlineLevel="0" collapsed="false">
      <c r="A204" s="20" t="s">
        <v>252</v>
      </c>
      <c r="B204" s="21" t="n">
        <v>45840</v>
      </c>
      <c r="C204" s="17" t="str">
        <f aca="false">TEXT(B204,"mmm")</f>
        <v>Jul</v>
      </c>
      <c r="D204" s="20" t="s">
        <v>33</v>
      </c>
      <c r="E204" s="20" t="s">
        <v>43</v>
      </c>
      <c r="F204" s="20" t="s">
        <v>48</v>
      </c>
      <c r="G204" s="22" t="n">
        <v>411.65</v>
      </c>
      <c r="H204" s="22" t="n">
        <v>438.05</v>
      </c>
      <c r="I204" s="23" t="n">
        <f aca="false">H204-G204</f>
        <v>26.4</v>
      </c>
      <c r="J204" s="20" t="s">
        <v>24</v>
      </c>
      <c r="K204" s="20" t="n">
        <v>22</v>
      </c>
    </row>
    <row r="205" customFormat="false" ht="15" hidden="false" customHeight="true" outlineLevel="0" collapsed="false">
      <c r="A205" s="20" t="s">
        <v>253</v>
      </c>
      <c r="B205" s="21" t="n">
        <v>45726</v>
      </c>
      <c r="C205" s="17" t="str">
        <f aca="false">TEXT(B205,"mmm")</f>
        <v>Mar</v>
      </c>
      <c r="D205" s="20" t="s">
        <v>33</v>
      </c>
      <c r="E205" s="20" t="s">
        <v>43</v>
      </c>
      <c r="F205" s="20" t="s">
        <v>45</v>
      </c>
      <c r="G205" s="22" t="n">
        <v>915.99</v>
      </c>
      <c r="H205" s="22" t="n">
        <v>767.18</v>
      </c>
      <c r="I205" s="23" t="n">
        <f aca="false">H205-G205</f>
        <v>-148.81</v>
      </c>
      <c r="J205" s="20" t="s">
        <v>24</v>
      </c>
      <c r="K205" s="20" t="n">
        <v>30</v>
      </c>
    </row>
    <row r="206" customFormat="false" ht="15" hidden="false" customHeight="true" outlineLevel="0" collapsed="false">
      <c r="A206" s="20" t="s">
        <v>254</v>
      </c>
      <c r="B206" s="21" t="n">
        <v>46014</v>
      </c>
      <c r="C206" s="17" t="str">
        <f aca="false">TEXT(B206,"mmm")</f>
        <v>Dec</v>
      </c>
      <c r="D206" s="20" t="s">
        <v>37</v>
      </c>
      <c r="E206" s="20" t="s">
        <v>57</v>
      </c>
      <c r="F206" s="20" t="s">
        <v>54</v>
      </c>
      <c r="G206" s="22" t="n">
        <v>936.82</v>
      </c>
      <c r="H206" s="22" t="n">
        <v>732.17</v>
      </c>
      <c r="I206" s="23" t="n">
        <f aca="false">H206-G206</f>
        <v>-204.65</v>
      </c>
      <c r="J206" s="20" t="s">
        <v>24</v>
      </c>
      <c r="K206" s="20" t="n">
        <v>30</v>
      </c>
    </row>
    <row r="207" customFormat="false" ht="15" hidden="false" customHeight="true" outlineLevel="0" collapsed="false">
      <c r="A207" s="20" t="s">
        <v>255</v>
      </c>
      <c r="B207" s="21" t="n">
        <v>45676</v>
      </c>
      <c r="C207" s="17" t="str">
        <f aca="false">TEXT(B207,"mmm")</f>
        <v>Jan</v>
      </c>
      <c r="D207" s="20" t="s">
        <v>50</v>
      </c>
      <c r="E207" s="20" t="s">
        <v>40</v>
      </c>
      <c r="F207" s="20" t="s">
        <v>38</v>
      </c>
      <c r="G207" s="22" t="n">
        <v>9822.78</v>
      </c>
      <c r="H207" s="22" t="n">
        <v>11717.55</v>
      </c>
      <c r="I207" s="23" t="n">
        <f aca="false">H207-G207</f>
        <v>1894.77</v>
      </c>
      <c r="J207" s="20" t="s">
        <v>23</v>
      </c>
      <c r="K207" s="20" t="n">
        <v>20</v>
      </c>
    </row>
    <row r="208" customFormat="false" ht="15" hidden="false" customHeight="true" outlineLevel="0" collapsed="false">
      <c r="A208" s="20" t="s">
        <v>256</v>
      </c>
      <c r="B208" s="21" t="n">
        <v>45921</v>
      </c>
      <c r="C208" s="17" t="str">
        <f aca="false">TEXT(B208,"mmm")</f>
        <v>Sep</v>
      </c>
      <c r="D208" s="20" t="s">
        <v>37</v>
      </c>
      <c r="E208" s="20" t="s">
        <v>53</v>
      </c>
      <c r="F208" s="20" t="s">
        <v>41</v>
      </c>
      <c r="G208" s="22" t="n">
        <v>595.79</v>
      </c>
      <c r="H208" s="22" t="n">
        <v>671.24</v>
      </c>
      <c r="I208" s="23" t="n">
        <f aca="false">H208-G208</f>
        <v>75.4500000000001</v>
      </c>
      <c r="J208" s="20" t="s">
        <v>23</v>
      </c>
      <c r="K208" s="20" t="n">
        <v>23</v>
      </c>
    </row>
    <row r="209" customFormat="false" ht="15" hidden="false" customHeight="true" outlineLevel="0" collapsed="false">
      <c r="A209" s="20" t="s">
        <v>257</v>
      </c>
      <c r="B209" s="21" t="n">
        <v>45682</v>
      </c>
      <c r="C209" s="17" t="str">
        <f aca="false">TEXT(B209,"mmm")</f>
        <v>Jan</v>
      </c>
      <c r="D209" s="20" t="s">
        <v>50</v>
      </c>
      <c r="E209" s="20" t="s">
        <v>43</v>
      </c>
      <c r="F209" s="20" t="s">
        <v>59</v>
      </c>
      <c r="G209" s="22" t="n">
        <v>1390.5</v>
      </c>
      <c r="H209" s="22" t="n">
        <v>1346.67</v>
      </c>
      <c r="I209" s="23" t="n">
        <f aca="false">H209-G209</f>
        <v>-43.8299999999999</v>
      </c>
      <c r="J209" s="20" t="s">
        <v>23</v>
      </c>
      <c r="K209" s="20" t="n">
        <v>29</v>
      </c>
    </row>
    <row r="210" customFormat="false" ht="15" hidden="false" customHeight="true" outlineLevel="0" collapsed="false">
      <c r="A210" s="20" t="s">
        <v>258</v>
      </c>
      <c r="B210" s="21" t="n">
        <v>45855</v>
      </c>
      <c r="C210" s="17" t="str">
        <f aca="false">TEXT(B210,"mmm")</f>
        <v>Jul</v>
      </c>
      <c r="D210" s="20" t="s">
        <v>50</v>
      </c>
      <c r="E210" s="20" t="s">
        <v>40</v>
      </c>
      <c r="F210" s="20" t="s">
        <v>41</v>
      </c>
      <c r="G210" s="22" t="n">
        <v>782.59</v>
      </c>
      <c r="H210" s="22" t="n">
        <v>730.68</v>
      </c>
      <c r="I210" s="23" t="n">
        <f aca="false">H210-G210</f>
        <v>-51.9100000000001</v>
      </c>
      <c r="J210" s="20" t="s">
        <v>24</v>
      </c>
      <c r="K210" s="20" t="n">
        <v>18</v>
      </c>
    </row>
    <row r="211" customFormat="false" ht="15" hidden="false" customHeight="true" outlineLevel="0" collapsed="false">
      <c r="A211" s="20" t="s">
        <v>259</v>
      </c>
      <c r="B211" s="21" t="n">
        <v>45700</v>
      </c>
      <c r="C211" s="17" t="str">
        <f aca="false">TEXT(B211,"mmm")</f>
        <v>Feb</v>
      </c>
      <c r="D211" s="20" t="s">
        <v>37</v>
      </c>
      <c r="E211" s="20" t="s">
        <v>34</v>
      </c>
      <c r="F211" s="20" t="s">
        <v>62</v>
      </c>
      <c r="G211" s="22" t="n">
        <v>3103.47</v>
      </c>
      <c r="H211" s="22" t="n">
        <v>3603.66</v>
      </c>
      <c r="I211" s="23" t="n">
        <f aca="false">H211-G211</f>
        <v>500.19</v>
      </c>
      <c r="J211" s="20" t="s">
        <v>23</v>
      </c>
      <c r="K211" s="20" t="n">
        <v>21</v>
      </c>
    </row>
    <row r="212" customFormat="false" ht="15" hidden="false" customHeight="true" outlineLevel="0" collapsed="false">
      <c r="A212" s="20" t="s">
        <v>260</v>
      </c>
      <c r="B212" s="21" t="n">
        <v>45710</v>
      </c>
      <c r="C212" s="17" t="str">
        <f aca="false">TEXT(B212,"mmm")</f>
        <v>Feb</v>
      </c>
      <c r="D212" s="20" t="s">
        <v>33</v>
      </c>
      <c r="E212" s="20" t="s">
        <v>43</v>
      </c>
      <c r="F212" s="20" t="s">
        <v>35</v>
      </c>
      <c r="G212" s="22" t="n">
        <v>2939.97</v>
      </c>
      <c r="H212" s="22" t="n">
        <v>3090.82</v>
      </c>
      <c r="I212" s="23" t="n">
        <f aca="false">H212-G212</f>
        <v>150.85</v>
      </c>
      <c r="J212" s="20" t="s">
        <v>23</v>
      </c>
      <c r="K212" s="20" t="n">
        <v>45</v>
      </c>
    </row>
    <row r="213" customFormat="false" ht="15" hidden="false" customHeight="true" outlineLevel="0" collapsed="false">
      <c r="A213" s="20" t="s">
        <v>261</v>
      </c>
      <c r="B213" s="21" t="n">
        <v>45885</v>
      </c>
      <c r="C213" s="17" t="str">
        <f aca="false">TEXT(B213,"mmm")</f>
        <v>Aug</v>
      </c>
      <c r="D213" s="20" t="s">
        <v>50</v>
      </c>
      <c r="E213" s="20" t="s">
        <v>51</v>
      </c>
      <c r="F213" s="20" t="s">
        <v>38</v>
      </c>
      <c r="G213" s="22" t="n">
        <v>9615.11</v>
      </c>
      <c r="H213" s="22" t="n">
        <v>11593.93</v>
      </c>
      <c r="I213" s="23" t="n">
        <f aca="false">H213-G213</f>
        <v>1978.82</v>
      </c>
      <c r="J213" s="20" t="s">
        <v>23</v>
      </c>
      <c r="K213" s="20" t="n">
        <v>28</v>
      </c>
    </row>
    <row r="214" customFormat="false" ht="15" hidden="false" customHeight="true" outlineLevel="0" collapsed="false">
      <c r="A214" s="20" t="s">
        <v>262</v>
      </c>
      <c r="B214" s="21" t="n">
        <v>45798</v>
      </c>
      <c r="C214" s="17" t="str">
        <f aca="false">TEXT(B214,"mmm")</f>
        <v>May</v>
      </c>
      <c r="D214" s="20" t="s">
        <v>33</v>
      </c>
      <c r="E214" s="20" t="s">
        <v>34</v>
      </c>
      <c r="F214" s="20" t="s">
        <v>62</v>
      </c>
      <c r="G214" s="22" t="n">
        <v>3846.79</v>
      </c>
      <c r="H214" s="22" t="n">
        <v>4425.92</v>
      </c>
      <c r="I214" s="23" t="n">
        <f aca="false">H214-G214</f>
        <v>579.13</v>
      </c>
      <c r="J214" s="20" t="s">
        <v>23</v>
      </c>
      <c r="K214" s="20" t="n">
        <v>2</v>
      </c>
    </row>
    <row r="215" customFormat="false" ht="15" hidden="false" customHeight="true" outlineLevel="0" collapsed="false">
      <c r="A215" s="20" t="s">
        <v>263</v>
      </c>
      <c r="B215" s="21" t="n">
        <v>45731</v>
      </c>
      <c r="C215" s="17" t="str">
        <f aca="false">TEXT(B215,"mmm")</f>
        <v>Mar</v>
      </c>
      <c r="D215" s="20" t="s">
        <v>37</v>
      </c>
      <c r="E215" s="20" t="s">
        <v>34</v>
      </c>
      <c r="F215" s="20" t="s">
        <v>54</v>
      </c>
      <c r="G215" s="22" t="n">
        <v>709.07</v>
      </c>
      <c r="H215" s="22" t="n">
        <v>807.81</v>
      </c>
      <c r="I215" s="23" t="n">
        <f aca="false">H215-G215</f>
        <v>98.7399999999999</v>
      </c>
      <c r="J215" s="20" t="s">
        <v>23</v>
      </c>
      <c r="K215" s="20" t="n">
        <v>25</v>
      </c>
    </row>
    <row r="216" customFormat="false" ht="15" hidden="false" customHeight="true" outlineLevel="0" collapsed="false">
      <c r="A216" s="20" t="s">
        <v>264</v>
      </c>
      <c r="B216" s="21" t="n">
        <v>45948</v>
      </c>
      <c r="C216" s="17" t="str">
        <f aca="false">TEXT(B216,"mmm")</f>
        <v>Oct</v>
      </c>
      <c r="D216" s="20" t="s">
        <v>33</v>
      </c>
      <c r="E216" s="20" t="s">
        <v>53</v>
      </c>
      <c r="F216" s="20" t="s">
        <v>54</v>
      </c>
      <c r="G216" s="22" t="n">
        <v>1212.63</v>
      </c>
      <c r="H216" s="22" t="n">
        <v>1484.76</v>
      </c>
      <c r="I216" s="23" t="n">
        <f aca="false">H216-G216</f>
        <v>272.13</v>
      </c>
      <c r="J216" s="20" t="s">
        <v>23</v>
      </c>
      <c r="K216" s="20" t="n">
        <v>5</v>
      </c>
    </row>
    <row r="217" customFormat="false" ht="15" hidden="false" customHeight="true" outlineLevel="0" collapsed="false">
      <c r="A217" s="20" t="s">
        <v>265</v>
      </c>
      <c r="B217" s="21" t="n">
        <v>45951</v>
      </c>
      <c r="C217" s="17" t="str">
        <f aca="false">TEXT(B217,"mmm")</f>
        <v>Oct</v>
      </c>
      <c r="D217" s="20" t="s">
        <v>56</v>
      </c>
      <c r="E217" s="20" t="s">
        <v>53</v>
      </c>
      <c r="F217" s="20" t="s">
        <v>45</v>
      </c>
      <c r="G217" s="22" t="n">
        <v>722.91</v>
      </c>
      <c r="H217" s="22" t="n">
        <v>776.97</v>
      </c>
      <c r="I217" s="23" t="n">
        <f aca="false">H217-G217</f>
        <v>54.0600000000001</v>
      </c>
      <c r="J217" s="20" t="s">
        <v>23</v>
      </c>
      <c r="K217" s="20" t="n">
        <v>8</v>
      </c>
    </row>
    <row r="218" customFormat="false" ht="15" hidden="false" customHeight="true" outlineLevel="0" collapsed="false">
      <c r="A218" s="20" t="s">
        <v>266</v>
      </c>
      <c r="B218" s="21" t="n">
        <v>45671</v>
      </c>
      <c r="C218" s="17" t="str">
        <f aca="false">TEXT(B218,"mmm")</f>
        <v>Jan</v>
      </c>
      <c r="D218" s="20" t="s">
        <v>56</v>
      </c>
      <c r="E218" s="20" t="s">
        <v>51</v>
      </c>
      <c r="F218" s="20" t="s">
        <v>62</v>
      </c>
      <c r="G218" s="22" t="n">
        <v>4251.8</v>
      </c>
      <c r="H218" s="22" t="n">
        <v>3439.2</v>
      </c>
      <c r="I218" s="23" t="n">
        <f aca="false">H218-G218</f>
        <v>-812.6</v>
      </c>
      <c r="J218" s="20" t="s">
        <v>24</v>
      </c>
      <c r="K218" s="20" t="n">
        <v>29</v>
      </c>
    </row>
    <row r="219" customFormat="false" ht="15" hidden="false" customHeight="true" outlineLevel="0" collapsed="false">
      <c r="A219" s="20" t="s">
        <v>267</v>
      </c>
      <c r="B219" s="21" t="n">
        <v>45767</v>
      </c>
      <c r="C219" s="17" t="str">
        <f aca="false">TEXT(B219,"mmm")</f>
        <v>Apr</v>
      </c>
      <c r="D219" s="20" t="s">
        <v>50</v>
      </c>
      <c r="E219" s="20" t="s">
        <v>57</v>
      </c>
      <c r="F219" s="20" t="s">
        <v>41</v>
      </c>
      <c r="G219" s="22" t="n">
        <v>651.75</v>
      </c>
      <c r="H219" s="22" t="n">
        <v>533.04</v>
      </c>
      <c r="I219" s="23" t="n">
        <f aca="false">H219-G219</f>
        <v>-118.71</v>
      </c>
      <c r="J219" s="20" t="s">
        <v>23</v>
      </c>
      <c r="K219" s="20" t="n">
        <v>12</v>
      </c>
    </row>
    <row r="220" customFormat="false" ht="15" hidden="false" customHeight="true" outlineLevel="0" collapsed="false">
      <c r="A220" s="20" t="s">
        <v>268</v>
      </c>
      <c r="B220" s="21" t="n">
        <v>45885</v>
      </c>
      <c r="C220" s="17" t="str">
        <f aca="false">TEXT(B220,"mmm")</f>
        <v>Aug</v>
      </c>
      <c r="D220" s="20" t="s">
        <v>33</v>
      </c>
      <c r="E220" s="20" t="s">
        <v>57</v>
      </c>
      <c r="F220" s="20" t="s">
        <v>45</v>
      </c>
      <c r="G220" s="22" t="n">
        <v>872.43</v>
      </c>
      <c r="H220" s="22" t="n">
        <v>963.83</v>
      </c>
      <c r="I220" s="23" t="n">
        <f aca="false">H220-G220</f>
        <v>91.4000000000001</v>
      </c>
      <c r="J220" s="20" t="s">
        <v>23</v>
      </c>
      <c r="K220" s="20" t="n">
        <v>19</v>
      </c>
    </row>
    <row r="221" customFormat="false" ht="15" hidden="false" customHeight="true" outlineLevel="0" collapsed="false">
      <c r="A221" s="20" t="s">
        <v>269</v>
      </c>
      <c r="B221" s="21" t="n">
        <v>45811</v>
      </c>
      <c r="C221" s="17" t="str">
        <f aca="false">TEXT(B221,"mmm")</f>
        <v>Jun</v>
      </c>
      <c r="D221" s="20" t="s">
        <v>56</v>
      </c>
      <c r="E221" s="20" t="s">
        <v>57</v>
      </c>
      <c r="F221" s="20" t="s">
        <v>54</v>
      </c>
      <c r="G221" s="22" t="n">
        <v>1150.52</v>
      </c>
      <c r="H221" s="22" t="n">
        <v>1155.56</v>
      </c>
      <c r="I221" s="23" t="n">
        <f aca="false">H221-G221</f>
        <v>5.03999999999996</v>
      </c>
      <c r="J221" s="20" t="s">
        <v>23</v>
      </c>
      <c r="K221" s="20" t="n">
        <v>13</v>
      </c>
    </row>
    <row r="222" customFormat="false" ht="15" hidden="false" customHeight="true" outlineLevel="0" collapsed="false">
      <c r="A222" s="20" t="s">
        <v>270</v>
      </c>
      <c r="B222" s="21" t="n">
        <v>45729</v>
      </c>
      <c r="C222" s="17" t="str">
        <f aca="false">TEXT(B222,"mmm")</f>
        <v>Mar</v>
      </c>
      <c r="D222" s="20" t="s">
        <v>56</v>
      </c>
      <c r="E222" s="20" t="s">
        <v>51</v>
      </c>
      <c r="F222" s="20" t="s">
        <v>38</v>
      </c>
      <c r="G222" s="22" t="n">
        <v>9320.9</v>
      </c>
      <c r="H222" s="22" t="n">
        <v>9657.75</v>
      </c>
      <c r="I222" s="23" t="n">
        <f aca="false">H222-G222</f>
        <v>336.85</v>
      </c>
      <c r="J222" s="20" t="s">
        <v>23</v>
      </c>
      <c r="K222" s="20" t="n">
        <v>36</v>
      </c>
    </row>
    <row r="223" customFormat="false" ht="15" hidden="false" customHeight="true" outlineLevel="0" collapsed="false">
      <c r="A223" s="20" t="s">
        <v>271</v>
      </c>
      <c r="B223" s="21" t="n">
        <v>45724</v>
      </c>
      <c r="C223" s="17" t="str">
        <f aca="false">TEXT(B223,"mmm")</f>
        <v>Mar</v>
      </c>
      <c r="D223" s="20" t="s">
        <v>33</v>
      </c>
      <c r="E223" s="20" t="s">
        <v>34</v>
      </c>
      <c r="F223" s="20" t="s">
        <v>35</v>
      </c>
      <c r="G223" s="22" t="n">
        <v>3045.38</v>
      </c>
      <c r="H223" s="22" t="n">
        <v>3375.7</v>
      </c>
      <c r="I223" s="23" t="n">
        <f aca="false">H223-G223</f>
        <v>330.32</v>
      </c>
      <c r="J223" s="20" t="s">
        <v>23</v>
      </c>
      <c r="K223" s="20" t="n">
        <v>27</v>
      </c>
    </row>
    <row r="224" customFormat="false" ht="15" hidden="false" customHeight="true" outlineLevel="0" collapsed="false">
      <c r="A224" s="20" t="s">
        <v>272</v>
      </c>
      <c r="B224" s="21" t="n">
        <v>45867</v>
      </c>
      <c r="C224" s="17" t="str">
        <f aca="false">TEXT(B224,"mmm")</f>
        <v>Jul</v>
      </c>
      <c r="D224" s="20" t="s">
        <v>33</v>
      </c>
      <c r="E224" s="20" t="s">
        <v>40</v>
      </c>
      <c r="F224" s="20" t="s">
        <v>45</v>
      </c>
      <c r="G224" s="22" t="n">
        <v>864.81</v>
      </c>
      <c r="H224" s="22" t="n">
        <v>843.18</v>
      </c>
      <c r="I224" s="23" t="n">
        <f aca="false">H224-G224</f>
        <v>-21.63</v>
      </c>
      <c r="J224" s="20" t="s">
        <v>23</v>
      </c>
      <c r="K224" s="20" t="n">
        <v>23</v>
      </c>
    </row>
    <row r="225" customFormat="false" ht="15" hidden="false" customHeight="true" outlineLevel="0" collapsed="false">
      <c r="A225" s="20" t="s">
        <v>273</v>
      </c>
      <c r="B225" s="21" t="n">
        <v>45723</v>
      </c>
      <c r="C225" s="17" t="str">
        <f aca="false">TEXT(B225,"mmm")</f>
        <v>Mar</v>
      </c>
      <c r="D225" s="20" t="s">
        <v>56</v>
      </c>
      <c r="E225" s="20" t="s">
        <v>40</v>
      </c>
      <c r="F225" s="20" t="s">
        <v>62</v>
      </c>
      <c r="G225" s="22" t="n">
        <v>3699.85</v>
      </c>
      <c r="H225" s="22" t="n">
        <v>4381.01</v>
      </c>
      <c r="I225" s="23" t="n">
        <f aca="false">H225-G225</f>
        <v>681.16</v>
      </c>
      <c r="J225" s="20" t="s">
        <v>24</v>
      </c>
      <c r="K225" s="20" t="n">
        <v>34</v>
      </c>
    </row>
    <row r="226" customFormat="false" ht="15" hidden="false" customHeight="true" outlineLevel="0" collapsed="false">
      <c r="A226" s="20" t="s">
        <v>274</v>
      </c>
      <c r="B226" s="21" t="n">
        <v>45736</v>
      </c>
      <c r="C226" s="17" t="str">
        <f aca="false">TEXT(B226,"mmm")</f>
        <v>Mar</v>
      </c>
      <c r="D226" s="20" t="s">
        <v>50</v>
      </c>
      <c r="E226" s="20" t="s">
        <v>40</v>
      </c>
      <c r="F226" s="20" t="s">
        <v>54</v>
      </c>
      <c r="G226" s="22" t="n">
        <v>879.85</v>
      </c>
      <c r="H226" s="22" t="n">
        <v>971.94</v>
      </c>
      <c r="I226" s="23" t="n">
        <f aca="false">H226-G226</f>
        <v>92.09</v>
      </c>
      <c r="J226" s="20" t="s">
        <v>23</v>
      </c>
      <c r="K226" s="20" t="n">
        <v>34</v>
      </c>
    </row>
    <row r="227" customFormat="false" ht="15" hidden="false" customHeight="true" outlineLevel="0" collapsed="false">
      <c r="A227" s="20" t="s">
        <v>275</v>
      </c>
      <c r="B227" s="21" t="n">
        <v>45803</v>
      </c>
      <c r="C227" s="17" t="str">
        <f aca="false">TEXT(B227,"mmm")</f>
        <v>May</v>
      </c>
      <c r="D227" s="20" t="s">
        <v>33</v>
      </c>
      <c r="E227" s="20" t="s">
        <v>43</v>
      </c>
      <c r="F227" s="20" t="s">
        <v>48</v>
      </c>
      <c r="G227" s="22" t="n">
        <v>398.14</v>
      </c>
      <c r="H227" s="22" t="n">
        <v>408.26</v>
      </c>
      <c r="I227" s="23" t="n">
        <f aca="false">H227-G227</f>
        <v>10.12</v>
      </c>
      <c r="J227" s="20" t="s">
        <v>23</v>
      </c>
      <c r="K227" s="20" t="n">
        <v>20</v>
      </c>
    </row>
    <row r="228" customFormat="false" ht="15" hidden="false" customHeight="true" outlineLevel="0" collapsed="false">
      <c r="A228" s="20" t="s">
        <v>276</v>
      </c>
      <c r="B228" s="21" t="n">
        <v>45972</v>
      </c>
      <c r="C228" s="17" t="str">
        <f aca="false">TEXT(B228,"mmm")</f>
        <v>Nov</v>
      </c>
      <c r="D228" s="20" t="s">
        <v>33</v>
      </c>
      <c r="E228" s="20" t="s">
        <v>53</v>
      </c>
      <c r="F228" s="20" t="s">
        <v>54</v>
      </c>
      <c r="G228" s="22" t="n">
        <v>1176.51</v>
      </c>
      <c r="H228" s="22" t="n">
        <v>1223.95</v>
      </c>
      <c r="I228" s="23" t="n">
        <f aca="false">H228-G228</f>
        <v>47.4400000000001</v>
      </c>
      <c r="J228" s="20" t="s">
        <v>23</v>
      </c>
      <c r="K228" s="20" t="n">
        <v>40</v>
      </c>
    </row>
    <row r="229" customFormat="false" ht="15" hidden="false" customHeight="true" outlineLevel="0" collapsed="false">
      <c r="A229" s="20" t="s">
        <v>277</v>
      </c>
      <c r="B229" s="21" t="n">
        <v>45967</v>
      </c>
      <c r="C229" s="17" t="str">
        <f aca="false">TEXT(B229,"mmm")</f>
        <v>Nov</v>
      </c>
      <c r="D229" s="20" t="s">
        <v>50</v>
      </c>
      <c r="E229" s="20" t="s">
        <v>53</v>
      </c>
      <c r="F229" s="20" t="s">
        <v>38</v>
      </c>
      <c r="G229" s="22" t="n">
        <v>9933.01</v>
      </c>
      <c r="H229" s="22" t="n">
        <v>7590.67</v>
      </c>
      <c r="I229" s="23" t="n">
        <f aca="false">H229-G229</f>
        <v>-2342.34</v>
      </c>
      <c r="J229" s="20" t="s">
        <v>23</v>
      </c>
      <c r="K229" s="20" t="n">
        <v>42</v>
      </c>
    </row>
    <row r="230" customFormat="false" ht="15" hidden="false" customHeight="true" outlineLevel="0" collapsed="false">
      <c r="A230" s="20" t="s">
        <v>278</v>
      </c>
      <c r="B230" s="21" t="n">
        <v>45953</v>
      </c>
      <c r="C230" s="17" t="str">
        <f aca="false">TEXT(B230,"mmm")</f>
        <v>Oct</v>
      </c>
      <c r="D230" s="20" t="s">
        <v>50</v>
      </c>
      <c r="E230" s="20" t="s">
        <v>57</v>
      </c>
      <c r="F230" s="20" t="s">
        <v>48</v>
      </c>
      <c r="G230" s="22" t="n">
        <v>343.93</v>
      </c>
      <c r="H230" s="22" t="n">
        <v>329.59</v>
      </c>
      <c r="I230" s="23" t="n">
        <f aca="false">H230-G230</f>
        <v>-14.34</v>
      </c>
      <c r="J230" s="20" t="s">
        <v>23</v>
      </c>
      <c r="K230" s="20" t="n">
        <v>32</v>
      </c>
    </row>
    <row r="231" customFormat="false" ht="15" hidden="false" customHeight="true" outlineLevel="0" collapsed="false">
      <c r="A231" s="20" t="s">
        <v>279</v>
      </c>
      <c r="B231" s="21" t="n">
        <v>45979</v>
      </c>
      <c r="C231" s="17" t="str">
        <f aca="false">TEXT(B231,"mmm")</f>
        <v>Nov</v>
      </c>
      <c r="D231" s="20" t="s">
        <v>50</v>
      </c>
      <c r="E231" s="20" t="s">
        <v>57</v>
      </c>
      <c r="F231" s="20" t="s">
        <v>35</v>
      </c>
      <c r="G231" s="22" t="n">
        <v>2596.3</v>
      </c>
      <c r="H231" s="22" t="n">
        <v>2991.83</v>
      </c>
      <c r="I231" s="23" t="n">
        <f aca="false">H231-G231</f>
        <v>395.53</v>
      </c>
      <c r="J231" s="20" t="s">
        <v>23</v>
      </c>
      <c r="K231" s="20" t="n">
        <v>20</v>
      </c>
    </row>
    <row r="232" customFormat="false" ht="15" hidden="false" customHeight="true" outlineLevel="0" collapsed="false">
      <c r="A232" s="20" t="s">
        <v>280</v>
      </c>
      <c r="B232" s="21" t="n">
        <v>45890</v>
      </c>
      <c r="C232" s="17" t="str">
        <f aca="false">TEXT(B232,"mmm")</f>
        <v>Aug</v>
      </c>
      <c r="D232" s="20" t="s">
        <v>33</v>
      </c>
      <c r="E232" s="20" t="s">
        <v>57</v>
      </c>
      <c r="F232" s="20" t="s">
        <v>38</v>
      </c>
      <c r="G232" s="22" t="n">
        <v>9415.59</v>
      </c>
      <c r="H232" s="22" t="n">
        <v>9018.35</v>
      </c>
      <c r="I232" s="23" t="n">
        <f aca="false">H232-G232</f>
        <v>-397.24</v>
      </c>
      <c r="J232" s="20" t="s">
        <v>23</v>
      </c>
      <c r="K232" s="20" t="n">
        <v>22</v>
      </c>
    </row>
    <row r="233" customFormat="false" ht="15" hidden="false" customHeight="true" outlineLevel="0" collapsed="false">
      <c r="A233" s="20" t="s">
        <v>281</v>
      </c>
      <c r="B233" s="21" t="n">
        <v>45968</v>
      </c>
      <c r="C233" s="17" t="str">
        <f aca="false">TEXT(B233,"mmm")</f>
        <v>Nov</v>
      </c>
      <c r="D233" s="20" t="s">
        <v>56</v>
      </c>
      <c r="E233" s="20" t="s">
        <v>43</v>
      </c>
      <c r="F233" s="20" t="s">
        <v>45</v>
      </c>
      <c r="G233" s="22" t="n">
        <v>814.69</v>
      </c>
      <c r="H233" s="22" t="n">
        <v>961.65</v>
      </c>
      <c r="I233" s="23" t="n">
        <f aca="false">H233-G233</f>
        <v>146.96</v>
      </c>
      <c r="J233" s="20" t="s">
        <v>25</v>
      </c>
      <c r="K233" s="20" t="n">
        <v>9</v>
      </c>
    </row>
    <row r="234" customFormat="false" ht="15" hidden="false" customHeight="true" outlineLevel="0" collapsed="false">
      <c r="A234" s="20" t="s">
        <v>282</v>
      </c>
      <c r="B234" s="21" t="n">
        <v>45847</v>
      </c>
      <c r="C234" s="17" t="str">
        <f aca="false">TEXT(B234,"mmm")</f>
        <v>Jul</v>
      </c>
      <c r="D234" s="20" t="s">
        <v>33</v>
      </c>
      <c r="E234" s="20" t="s">
        <v>43</v>
      </c>
      <c r="F234" s="20" t="s">
        <v>48</v>
      </c>
      <c r="G234" s="22" t="n">
        <v>374.87</v>
      </c>
      <c r="H234" s="22" t="n">
        <v>331.29</v>
      </c>
      <c r="I234" s="23" t="n">
        <f aca="false">H234-G234</f>
        <v>-43.58</v>
      </c>
      <c r="J234" s="20" t="s">
        <v>23</v>
      </c>
      <c r="K234" s="20" t="n">
        <v>7</v>
      </c>
    </row>
    <row r="235" customFormat="false" ht="15" hidden="false" customHeight="true" outlineLevel="0" collapsed="false">
      <c r="A235" s="20" t="s">
        <v>283</v>
      </c>
      <c r="B235" s="21" t="n">
        <v>45683</v>
      </c>
      <c r="C235" s="17" t="str">
        <f aca="false">TEXT(B235,"mmm")</f>
        <v>Jan</v>
      </c>
      <c r="D235" s="20" t="s">
        <v>50</v>
      </c>
      <c r="E235" s="20" t="s">
        <v>51</v>
      </c>
      <c r="F235" s="20" t="s">
        <v>62</v>
      </c>
      <c r="G235" s="22" t="n">
        <v>3037.9</v>
      </c>
      <c r="H235" s="22" t="n">
        <v>3592.78</v>
      </c>
      <c r="I235" s="23" t="n">
        <f aca="false">H235-G235</f>
        <v>554.88</v>
      </c>
      <c r="J235" s="20" t="s">
        <v>23</v>
      </c>
      <c r="K235" s="20" t="n">
        <v>21</v>
      </c>
    </row>
    <row r="236" customFormat="false" ht="15" hidden="false" customHeight="true" outlineLevel="0" collapsed="false">
      <c r="A236" s="20" t="s">
        <v>284</v>
      </c>
      <c r="B236" s="21" t="n">
        <v>45953</v>
      </c>
      <c r="C236" s="17" t="str">
        <f aca="false">TEXT(B236,"mmm")</f>
        <v>Oct</v>
      </c>
      <c r="D236" s="20" t="s">
        <v>50</v>
      </c>
      <c r="E236" s="20" t="s">
        <v>40</v>
      </c>
      <c r="F236" s="20" t="s">
        <v>54</v>
      </c>
      <c r="G236" s="22" t="n">
        <v>939.91</v>
      </c>
      <c r="H236" s="22" t="n">
        <v>946.83</v>
      </c>
      <c r="I236" s="23" t="n">
        <f aca="false">H236-G236</f>
        <v>6.92000000000007</v>
      </c>
      <c r="J236" s="20" t="s">
        <v>23</v>
      </c>
      <c r="K236" s="20" t="n">
        <v>20</v>
      </c>
    </row>
    <row r="237" customFormat="false" ht="15" hidden="false" customHeight="true" outlineLevel="0" collapsed="false">
      <c r="A237" s="20" t="s">
        <v>285</v>
      </c>
      <c r="B237" s="21" t="n">
        <v>45912</v>
      </c>
      <c r="C237" s="17" t="str">
        <f aca="false">TEXT(B237,"mmm")</f>
        <v>Sep</v>
      </c>
      <c r="D237" s="20" t="s">
        <v>33</v>
      </c>
      <c r="E237" s="20" t="s">
        <v>34</v>
      </c>
      <c r="F237" s="20" t="s">
        <v>62</v>
      </c>
      <c r="G237" s="22" t="n">
        <v>4056.01</v>
      </c>
      <c r="H237" s="22" t="n">
        <v>5002.45</v>
      </c>
      <c r="I237" s="23" t="n">
        <f aca="false">H237-G237</f>
        <v>946.44</v>
      </c>
      <c r="J237" s="20" t="s">
        <v>23</v>
      </c>
      <c r="K237" s="20" t="n">
        <v>23</v>
      </c>
    </row>
    <row r="238" customFormat="false" ht="15" hidden="false" customHeight="true" outlineLevel="0" collapsed="false">
      <c r="A238" s="20" t="s">
        <v>286</v>
      </c>
      <c r="B238" s="21" t="n">
        <v>45682</v>
      </c>
      <c r="C238" s="17" t="str">
        <f aca="false">TEXT(B238,"mmm")</f>
        <v>Jan</v>
      </c>
      <c r="D238" s="20" t="s">
        <v>33</v>
      </c>
      <c r="E238" s="20" t="s">
        <v>43</v>
      </c>
      <c r="F238" s="20" t="s">
        <v>41</v>
      </c>
      <c r="G238" s="22" t="n">
        <v>916.9</v>
      </c>
      <c r="H238" s="22" t="n">
        <v>1074.08</v>
      </c>
      <c r="I238" s="23" t="n">
        <f aca="false">H238-G238</f>
        <v>157.18</v>
      </c>
      <c r="J238" s="20" t="s">
        <v>23</v>
      </c>
      <c r="K238" s="20" t="n">
        <v>19</v>
      </c>
    </row>
    <row r="239" customFormat="false" ht="15" hidden="false" customHeight="true" outlineLevel="0" collapsed="false">
      <c r="A239" s="20" t="s">
        <v>287</v>
      </c>
      <c r="B239" s="21" t="n">
        <v>45932</v>
      </c>
      <c r="C239" s="17" t="str">
        <f aca="false">TEXT(B239,"mmm")</f>
        <v>Oct</v>
      </c>
      <c r="D239" s="20" t="s">
        <v>33</v>
      </c>
      <c r="E239" s="20" t="s">
        <v>34</v>
      </c>
      <c r="F239" s="20" t="s">
        <v>62</v>
      </c>
      <c r="G239" s="22" t="n">
        <v>3509.15</v>
      </c>
      <c r="H239" s="22" t="n">
        <v>3095.9</v>
      </c>
      <c r="I239" s="23" t="n">
        <f aca="false">H239-G239</f>
        <v>-413.25</v>
      </c>
      <c r="J239" s="20" t="s">
        <v>23</v>
      </c>
      <c r="K239" s="20" t="n">
        <v>26</v>
      </c>
    </row>
    <row r="240" customFormat="false" ht="15" hidden="false" customHeight="true" outlineLevel="0" collapsed="false">
      <c r="A240" s="20" t="s">
        <v>288</v>
      </c>
      <c r="B240" s="21" t="n">
        <v>45845</v>
      </c>
      <c r="C240" s="17" t="str">
        <f aca="false">TEXT(B240,"mmm")</f>
        <v>Jul</v>
      </c>
      <c r="D240" s="20" t="s">
        <v>33</v>
      </c>
      <c r="E240" s="20" t="s">
        <v>51</v>
      </c>
      <c r="F240" s="20" t="s">
        <v>38</v>
      </c>
      <c r="G240" s="22" t="n">
        <v>11027.3</v>
      </c>
      <c r="H240" s="22" t="n">
        <v>9343.74</v>
      </c>
      <c r="I240" s="23" t="n">
        <f aca="false">H240-G240</f>
        <v>-1683.56</v>
      </c>
      <c r="J240" s="20" t="s">
        <v>23</v>
      </c>
      <c r="K240" s="20" t="n">
        <v>5</v>
      </c>
    </row>
    <row r="241" customFormat="false" ht="15" hidden="false" customHeight="true" outlineLevel="0" collapsed="false">
      <c r="A241" s="20" t="s">
        <v>289</v>
      </c>
      <c r="B241" s="21" t="n">
        <v>45855</v>
      </c>
      <c r="C241" s="17" t="str">
        <f aca="false">TEXT(B241,"mmm")</f>
        <v>Jul</v>
      </c>
      <c r="D241" s="20" t="s">
        <v>37</v>
      </c>
      <c r="E241" s="20" t="s">
        <v>53</v>
      </c>
      <c r="F241" s="20" t="s">
        <v>35</v>
      </c>
      <c r="G241" s="22" t="n">
        <v>2614.01</v>
      </c>
      <c r="H241" s="22" t="n">
        <v>2775.09</v>
      </c>
      <c r="I241" s="23" t="n">
        <f aca="false">H241-G241</f>
        <v>161.08</v>
      </c>
      <c r="J241" s="20" t="s">
        <v>23</v>
      </c>
      <c r="K241" s="20" t="n">
        <v>9</v>
      </c>
    </row>
    <row r="242" customFormat="false" ht="15" hidden="false" customHeight="true" outlineLevel="0" collapsed="false">
      <c r="A242" s="20" t="s">
        <v>290</v>
      </c>
      <c r="B242" s="21" t="n">
        <v>45707</v>
      </c>
      <c r="C242" s="17" t="str">
        <f aca="false">TEXT(B242,"mmm")</f>
        <v>Feb</v>
      </c>
      <c r="D242" s="20" t="s">
        <v>37</v>
      </c>
      <c r="E242" s="20" t="s">
        <v>43</v>
      </c>
      <c r="F242" s="20" t="s">
        <v>45</v>
      </c>
      <c r="G242" s="22" t="n">
        <v>620.53</v>
      </c>
      <c r="H242" s="22" t="n">
        <v>578.83</v>
      </c>
      <c r="I242" s="23" t="n">
        <f aca="false">H242-G242</f>
        <v>-41.6999999999999</v>
      </c>
      <c r="J242" s="20" t="s">
        <v>23</v>
      </c>
      <c r="K242" s="20" t="n">
        <v>39</v>
      </c>
    </row>
    <row r="243" customFormat="false" ht="15" hidden="false" customHeight="true" outlineLevel="0" collapsed="false">
      <c r="A243" s="20" t="s">
        <v>291</v>
      </c>
      <c r="B243" s="21" t="n">
        <v>45918</v>
      </c>
      <c r="C243" s="17" t="str">
        <f aca="false">TEXT(B243,"mmm")</f>
        <v>Sep</v>
      </c>
      <c r="D243" s="20" t="s">
        <v>37</v>
      </c>
      <c r="E243" s="20" t="s">
        <v>53</v>
      </c>
      <c r="F243" s="20" t="s">
        <v>38</v>
      </c>
      <c r="G243" s="22" t="n">
        <v>6633.43</v>
      </c>
      <c r="H243" s="22" t="n">
        <v>5429.58</v>
      </c>
      <c r="I243" s="23" t="n">
        <f aca="false">H243-G243</f>
        <v>-1203.85</v>
      </c>
      <c r="J243" s="20" t="s">
        <v>23</v>
      </c>
      <c r="K243" s="20" t="n">
        <v>31</v>
      </c>
    </row>
    <row r="244" customFormat="false" ht="15" hidden="false" customHeight="true" outlineLevel="0" collapsed="false">
      <c r="A244" s="20" t="s">
        <v>292</v>
      </c>
      <c r="B244" s="21" t="n">
        <v>45923</v>
      </c>
      <c r="C244" s="17" t="str">
        <f aca="false">TEXT(B244,"mmm")</f>
        <v>Sep</v>
      </c>
      <c r="D244" s="20" t="s">
        <v>37</v>
      </c>
      <c r="E244" s="20" t="s">
        <v>40</v>
      </c>
      <c r="F244" s="20" t="s">
        <v>54</v>
      </c>
      <c r="G244" s="22" t="n">
        <v>788.86</v>
      </c>
      <c r="H244" s="22" t="n">
        <v>833.46</v>
      </c>
      <c r="I244" s="23" t="n">
        <f aca="false">H244-G244</f>
        <v>44.6</v>
      </c>
      <c r="J244" s="20" t="s">
        <v>23</v>
      </c>
      <c r="K244" s="20" t="n">
        <v>40</v>
      </c>
    </row>
    <row r="245" customFormat="false" ht="15" hidden="false" customHeight="true" outlineLevel="0" collapsed="false">
      <c r="A245" s="20" t="s">
        <v>293</v>
      </c>
      <c r="B245" s="21" t="n">
        <v>45811</v>
      </c>
      <c r="C245" s="17" t="str">
        <f aca="false">TEXT(B245,"mmm")</f>
        <v>Jun</v>
      </c>
      <c r="D245" s="20" t="s">
        <v>50</v>
      </c>
      <c r="E245" s="20" t="s">
        <v>53</v>
      </c>
      <c r="F245" s="20" t="s">
        <v>41</v>
      </c>
      <c r="G245" s="22" t="n">
        <v>787.02</v>
      </c>
      <c r="H245" s="22" t="n">
        <v>708.24</v>
      </c>
      <c r="I245" s="23" t="n">
        <f aca="false">H245-G245</f>
        <v>-78.78</v>
      </c>
      <c r="J245" s="20" t="s">
        <v>24</v>
      </c>
      <c r="K245" s="20" t="n">
        <v>24</v>
      </c>
    </row>
    <row r="246" customFormat="false" ht="15" hidden="false" customHeight="true" outlineLevel="0" collapsed="false">
      <c r="A246" s="20" t="s">
        <v>294</v>
      </c>
      <c r="B246" s="21" t="n">
        <v>45827</v>
      </c>
      <c r="C246" s="17" t="str">
        <f aca="false">TEXT(B246,"mmm")</f>
        <v>Jun</v>
      </c>
      <c r="D246" s="20" t="s">
        <v>33</v>
      </c>
      <c r="E246" s="20" t="s">
        <v>51</v>
      </c>
      <c r="F246" s="20" t="s">
        <v>35</v>
      </c>
      <c r="G246" s="22" t="n">
        <v>3503.77</v>
      </c>
      <c r="H246" s="22" t="n">
        <v>3898.51</v>
      </c>
      <c r="I246" s="23" t="n">
        <f aca="false">H246-G246</f>
        <v>394.74</v>
      </c>
      <c r="J246" s="20" t="s">
        <v>23</v>
      </c>
      <c r="K246" s="20" t="n">
        <v>2</v>
      </c>
    </row>
    <row r="247" customFormat="false" ht="15" hidden="false" customHeight="true" outlineLevel="0" collapsed="false">
      <c r="A247" s="20" t="s">
        <v>295</v>
      </c>
      <c r="B247" s="21" t="n">
        <v>45963</v>
      </c>
      <c r="C247" s="17" t="str">
        <f aca="false">TEXT(B247,"mmm")</f>
        <v>Nov</v>
      </c>
      <c r="D247" s="20" t="s">
        <v>37</v>
      </c>
      <c r="E247" s="20" t="s">
        <v>43</v>
      </c>
      <c r="F247" s="20" t="s">
        <v>48</v>
      </c>
      <c r="G247" s="22" t="n">
        <v>303.08</v>
      </c>
      <c r="H247" s="22" t="n">
        <v>315.74</v>
      </c>
      <c r="I247" s="23" t="n">
        <f aca="false">H247-G247</f>
        <v>12.66</v>
      </c>
      <c r="J247" s="20" t="s">
        <v>23</v>
      </c>
      <c r="K247" s="20" t="n">
        <v>41</v>
      </c>
    </row>
    <row r="248" customFormat="false" ht="15" hidden="false" customHeight="true" outlineLevel="0" collapsed="false">
      <c r="A248" s="20" t="s">
        <v>296</v>
      </c>
      <c r="B248" s="21" t="n">
        <v>45975</v>
      </c>
      <c r="C248" s="17" t="str">
        <f aca="false">TEXT(B248,"mmm")</f>
        <v>Nov</v>
      </c>
      <c r="D248" s="20" t="s">
        <v>37</v>
      </c>
      <c r="E248" s="20" t="s">
        <v>40</v>
      </c>
      <c r="F248" s="20" t="s">
        <v>48</v>
      </c>
      <c r="G248" s="22" t="n">
        <v>232.72</v>
      </c>
      <c r="H248" s="22" t="n">
        <v>284.87</v>
      </c>
      <c r="I248" s="23" t="n">
        <f aca="false">H248-G248</f>
        <v>52.15</v>
      </c>
      <c r="J248" s="20" t="s">
        <v>23</v>
      </c>
      <c r="K248" s="20" t="n">
        <v>2</v>
      </c>
    </row>
    <row r="249" customFormat="false" ht="15" hidden="false" customHeight="true" outlineLevel="0" collapsed="false">
      <c r="A249" s="20" t="s">
        <v>297</v>
      </c>
      <c r="B249" s="21" t="n">
        <v>45883</v>
      </c>
      <c r="C249" s="17" t="str">
        <f aca="false">TEXT(B249,"mmm")</f>
        <v>Aug</v>
      </c>
      <c r="D249" s="20" t="s">
        <v>50</v>
      </c>
      <c r="E249" s="20" t="s">
        <v>51</v>
      </c>
      <c r="F249" s="20" t="s">
        <v>54</v>
      </c>
      <c r="G249" s="22" t="n">
        <v>910.73</v>
      </c>
      <c r="H249" s="22" t="n">
        <v>775.89</v>
      </c>
      <c r="I249" s="23" t="n">
        <f aca="false">H249-G249</f>
        <v>-134.84</v>
      </c>
      <c r="J249" s="20" t="s">
        <v>23</v>
      </c>
      <c r="K249" s="20" t="n">
        <v>40</v>
      </c>
    </row>
    <row r="250" customFormat="false" ht="15" hidden="false" customHeight="true" outlineLevel="0" collapsed="false">
      <c r="A250" s="20" t="s">
        <v>298</v>
      </c>
      <c r="B250" s="21" t="n">
        <v>45899</v>
      </c>
      <c r="C250" s="17" t="str">
        <f aca="false">TEXT(B250,"mmm")</f>
        <v>Aug</v>
      </c>
      <c r="D250" s="20" t="s">
        <v>33</v>
      </c>
      <c r="E250" s="20" t="s">
        <v>57</v>
      </c>
      <c r="F250" s="20" t="s">
        <v>54</v>
      </c>
      <c r="G250" s="22" t="n">
        <v>1146.23</v>
      </c>
      <c r="H250" s="22" t="n">
        <v>1181.13</v>
      </c>
      <c r="I250" s="23" t="n">
        <f aca="false">H250-G250</f>
        <v>34.9000000000001</v>
      </c>
      <c r="J250" s="20" t="s">
        <v>25</v>
      </c>
      <c r="K250" s="20" t="n">
        <v>31</v>
      </c>
    </row>
    <row r="251" customFormat="false" ht="15" hidden="false" customHeight="true" outlineLevel="0" collapsed="false">
      <c r="A251" s="20" t="s">
        <v>299</v>
      </c>
      <c r="B251" s="21" t="n">
        <v>45927</v>
      </c>
      <c r="C251" s="17" t="str">
        <f aca="false">TEXT(B251,"mmm")</f>
        <v>Sep</v>
      </c>
      <c r="D251" s="20" t="s">
        <v>37</v>
      </c>
      <c r="E251" s="20" t="s">
        <v>43</v>
      </c>
      <c r="F251" s="20" t="s">
        <v>54</v>
      </c>
      <c r="G251" s="22" t="n">
        <v>829.16</v>
      </c>
      <c r="H251" s="22" t="n">
        <v>842.89</v>
      </c>
      <c r="I251" s="23" t="n">
        <f aca="false">H251-G251</f>
        <v>13.73</v>
      </c>
      <c r="J251" s="20" t="s">
        <v>23</v>
      </c>
      <c r="K251" s="20" t="n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4" t="s">
        <v>300</v>
      </c>
    </row>
    <row r="2" customFormat="false" ht="15" hidden="false" customHeight="true" outlineLevel="0" collapsed="false">
      <c r="A2" s="25" t="s">
        <v>301</v>
      </c>
    </row>
    <row r="4" customFormat="false" ht="15" hidden="false" customHeight="true" outlineLevel="0" collapsed="false">
      <c r="A4" s="12" t="s">
        <v>302</v>
      </c>
      <c r="B4" s="13"/>
      <c r="C4" s="13"/>
      <c r="D4" s="13"/>
    </row>
    <row r="5" customFormat="false" ht="15" hidden="false" customHeight="true" outlineLevel="0" collapsed="false">
      <c r="A5" s="19" t="s">
        <v>303</v>
      </c>
      <c r="B5" s="19" t="s">
        <v>304</v>
      </c>
    </row>
    <row r="6" customFormat="false" ht="15" hidden="false" customHeight="true" outlineLevel="0" collapsed="false">
      <c r="A6" s="17" t="s">
        <v>305</v>
      </c>
      <c r="B6" s="26" t="n">
        <f aca="false">SUM('Raw Data'!G2:G251)</f>
        <v>612904.19</v>
      </c>
    </row>
    <row r="7" customFormat="false" ht="15" hidden="false" customHeight="true" outlineLevel="0" collapsed="false">
      <c r="A7" s="17" t="s">
        <v>306</v>
      </c>
      <c r="B7" s="26" t="n">
        <f aca="false">SUM('Raw Data'!H2:H251)</f>
        <v>625940.85</v>
      </c>
    </row>
    <row r="8" customFormat="false" ht="15" hidden="false" customHeight="true" outlineLevel="0" collapsed="false">
      <c r="A8" s="17" t="s">
        <v>307</v>
      </c>
      <c r="B8" s="23" t="n">
        <f aca="false">B7-B6</f>
        <v>13036.66</v>
      </c>
    </row>
    <row r="9" customFormat="false" ht="15" hidden="false" customHeight="true" outlineLevel="0" collapsed="false">
      <c r="A9" s="17" t="s">
        <v>308</v>
      </c>
      <c r="B9" s="27" t="n">
        <f aca="false">B8/B6</f>
        <v>0.0212703065384494</v>
      </c>
    </row>
    <row r="10" customFormat="false" ht="15" hidden="false" customHeight="true" outlineLevel="0" collapsed="false">
      <c r="A10" s="17" t="s">
        <v>309</v>
      </c>
      <c r="B10" s="26" t="n">
        <f aca="false">AVERAGE('Raw Data'!H2:H251)</f>
        <v>2503.7634</v>
      </c>
    </row>
    <row r="11" customFormat="false" ht="15" hidden="false" customHeight="true" outlineLevel="0" collapsed="false">
      <c r="A11" s="17" t="s">
        <v>310</v>
      </c>
      <c r="B11" s="18" t="n">
        <f aca="false">COUNTA('Raw Data'!A2:A251)</f>
        <v>250</v>
      </c>
    </row>
    <row r="12" customFormat="false" ht="15" hidden="false" customHeight="true" outlineLevel="0" collapsed="false">
      <c r="A12" s="17" t="s">
        <v>311</v>
      </c>
      <c r="B12" s="18" t="n">
        <f aca="false">COUNTIF('Raw Data'!J2:J251,"Approved")</f>
        <v>175</v>
      </c>
    </row>
    <row r="13" customFormat="false" ht="15" hidden="false" customHeight="true" outlineLevel="0" collapsed="false">
      <c r="A13" s="17" t="s">
        <v>12</v>
      </c>
      <c r="B13" s="27" t="n">
        <f aca="false">B11/B10</f>
        <v>0.0998496902702548</v>
      </c>
    </row>
    <row r="14" customFormat="false" ht="15" hidden="false" customHeight="true" outlineLevel="0" collapsed="false">
      <c r="A14" s="17" t="s">
        <v>312</v>
      </c>
      <c r="B14" s="18" t="n">
        <f aca="false">SUM('Raw Data'!K2:K251)</f>
        <v>5686</v>
      </c>
    </row>
    <row r="15" customFormat="false" ht="15" hidden="false" customHeight="true" outlineLevel="0" collapsed="false">
      <c r="A15" s="17" t="s">
        <v>313</v>
      </c>
      <c r="B15" s="26" t="n">
        <f aca="false">MAX('Raw Data'!H2:H251)</f>
        <v>15269.47</v>
      </c>
    </row>
    <row r="16" customFormat="false" ht="15" hidden="false" customHeight="true" outlineLevel="0" collapsed="false">
      <c r="A16" s="17" t="s">
        <v>314</v>
      </c>
      <c r="B16" s="26" t="n">
        <f aca="false">MIN('Raw Data'!H2:H251)</f>
        <v>209.37</v>
      </c>
    </row>
    <row r="18" customFormat="false" ht="15" hidden="false" customHeight="true" outlineLevel="0" collapsed="false">
      <c r="A18" s="12" t="s">
        <v>315</v>
      </c>
      <c r="B18" s="13"/>
      <c r="C18" s="13"/>
      <c r="D18" s="13"/>
      <c r="E18" s="13"/>
    </row>
    <row r="19" customFormat="false" ht="15" hidden="false" customHeight="true" outlineLevel="0" collapsed="false">
      <c r="A19" s="19" t="s">
        <v>15</v>
      </c>
      <c r="B19" s="19" t="s">
        <v>316</v>
      </c>
      <c r="C19" s="19" t="s">
        <v>317</v>
      </c>
      <c r="D19" s="19" t="s">
        <v>30</v>
      </c>
      <c r="E19" s="19" t="s">
        <v>308</v>
      </c>
    </row>
    <row r="20" customFormat="false" ht="15" hidden="false" customHeight="true" outlineLevel="0" collapsed="false">
      <c r="A20" s="17" t="s">
        <v>33</v>
      </c>
      <c r="B20" s="26" t="n">
        <f aca="false">SUMIF('Raw Data'!$D$2:$D$251,$A20,'Raw Data'!$G$2:$G$251)</f>
        <v>184317.11</v>
      </c>
      <c r="C20" s="26" t="n">
        <f aca="false">SUMIF('Raw Data'!$D$2:$D$251,$A20,'Raw Data'!$H$2:$H$251)</f>
        <v>191481.44</v>
      </c>
      <c r="D20" s="23" t="n">
        <f aca="false">C20-B20</f>
        <v>7164.33000000002</v>
      </c>
      <c r="E20" s="27" t="n">
        <f aca="false">D20/B20</f>
        <v>0.0388695873106952</v>
      </c>
    </row>
    <row r="21" customFormat="false" ht="15" hidden="false" customHeight="true" outlineLevel="0" collapsed="false">
      <c r="A21" s="17" t="s">
        <v>56</v>
      </c>
      <c r="B21" s="26" t="n">
        <f aca="false">SUMIF('Raw Data'!$D$2:$D$251,$A21,'Raw Data'!$G$2:$G$251)</f>
        <v>121130.08</v>
      </c>
      <c r="C21" s="26" t="n">
        <f aca="false">SUMIF('Raw Data'!$D$2:$D$251,$A21,'Raw Data'!$H$2:$H$251)</f>
        <v>125348.36</v>
      </c>
      <c r="D21" s="23" t="n">
        <f aca="false">C21-B21</f>
        <v>4218.28</v>
      </c>
      <c r="E21" s="27" t="n">
        <f aca="false">D21/B21</f>
        <v>0.0348243805337204</v>
      </c>
    </row>
    <row r="22" customFormat="false" ht="15" hidden="false" customHeight="true" outlineLevel="0" collapsed="false">
      <c r="A22" s="17" t="s">
        <v>50</v>
      </c>
      <c r="B22" s="26" t="n">
        <f aca="false">SUMIF('Raw Data'!$D$2:$D$251,$A22,'Raw Data'!$G$2:$G$251)</f>
        <v>172142.56</v>
      </c>
      <c r="C22" s="26" t="n">
        <f aca="false">SUMIF('Raw Data'!$D$2:$D$251,$A22,'Raw Data'!$H$2:$H$251)</f>
        <v>172470.26</v>
      </c>
      <c r="D22" s="23" t="n">
        <f aca="false">C22-B22</f>
        <v>327.700000000012</v>
      </c>
      <c r="E22" s="27" t="n">
        <f aca="false">D22/B22</f>
        <v>0.00190365473825887</v>
      </c>
    </row>
    <row r="23" customFormat="false" ht="15" hidden="false" customHeight="true" outlineLevel="0" collapsed="false">
      <c r="A23" s="17" t="s">
        <v>37</v>
      </c>
      <c r="B23" s="26" t="n">
        <f aca="false">SUMIF('Raw Data'!$D$2:$D$251,$A23,'Raw Data'!$G$2:$G$251)</f>
        <v>135314.44</v>
      </c>
      <c r="C23" s="26" t="n">
        <f aca="false">SUMIF('Raw Data'!$D$2:$D$251,$A23,'Raw Data'!$H$2:$H$251)</f>
        <v>136640.79</v>
      </c>
      <c r="D23" s="23" t="n">
        <f aca="false">C23-B23</f>
        <v>1326.35000000001</v>
      </c>
      <c r="E23" s="27" t="n">
        <f aca="false">D23/B23</f>
        <v>0.00980198417848092</v>
      </c>
    </row>
    <row r="25" customFormat="false" ht="15" hidden="false" customHeight="true" outlineLevel="0" collapsed="false">
      <c r="A25" s="12" t="s">
        <v>318</v>
      </c>
      <c r="B25" s="13"/>
      <c r="C25" s="13"/>
      <c r="D25" s="13"/>
      <c r="E25" s="13"/>
    </row>
    <row r="26" customFormat="false" ht="15" hidden="false" customHeight="true" outlineLevel="0" collapsed="false">
      <c r="A26" s="19" t="s">
        <v>20</v>
      </c>
      <c r="B26" s="19" t="s">
        <v>316</v>
      </c>
      <c r="C26" s="19" t="s">
        <v>317</v>
      </c>
      <c r="D26" s="19" t="s">
        <v>30</v>
      </c>
      <c r="E26" s="19" t="s">
        <v>308</v>
      </c>
    </row>
    <row r="27" customFormat="false" ht="15" hidden="false" customHeight="true" outlineLevel="0" collapsed="false">
      <c r="A27" s="17" t="s">
        <v>34</v>
      </c>
      <c r="B27" s="26" t="n">
        <f aca="false">SUMIF('Raw Data'!$E$2:$E$251,$A27,'Raw Data'!$G$2:$G$251)</f>
        <v>124332.03</v>
      </c>
      <c r="C27" s="26" t="n">
        <f aca="false">SUMIF('Raw Data'!$E$2:$E$251,$A27,'Raw Data'!$H$2:$H$251)</f>
        <v>131249.18</v>
      </c>
      <c r="D27" s="23" t="n">
        <f aca="false">C27-B27</f>
        <v>6917.14999999999</v>
      </c>
      <c r="E27" s="27" t="n">
        <f aca="false">D27/B27</f>
        <v>0.055634497401836</v>
      </c>
    </row>
    <row r="28" customFormat="false" ht="15" hidden="false" customHeight="true" outlineLevel="0" collapsed="false">
      <c r="A28" s="17" t="s">
        <v>40</v>
      </c>
      <c r="B28" s="26" t="n">
        <f aca="false">SUMIF('Raw Data'!$E$2:$E$251,$A28,'Raw Data'!$G$2:$G$251)</f>
        <v>75052.35</v>
      </c>
      <c r="C28" s="26" t="n">
        <f aca="false">SUMIF('Raw Data'!$E$2:$E$251,$A28,'Raw Data'!$H$2:$H$251)</f>
        <v>81528.6</v>
      </c>
      <c r="D28" s="23" t="n">
        <f aca="false">C28-B28</f>
        <v>6476.25</v>
      </c>
      <c r="E28" s="27" t="n">
        <f aca="false">D28/B28</f>
        <v>0.086289769740721</v>
      </c>
    </row>
    <row r="29" customFormat="false" ht="15" hidden="false" customHeight="true" outlineLevel="0" collapsed="false">
      <c r="A29" s="17" t="s">
        <v>43</v>
      </c>
      <c r="B29" s="26" t="n">
        <f aca="false">SUMIF('Raw Data'!$E$2:$E$251,$A29,'Raw Data'!$G$2:$G$251)</f>
        <v>75092.01</v>
      </c>
      <c r="C29" s="26" t="n">
        <f aca="false">SUMIF('Raw Data'!$E$2:$E$251,$A29,'Raw Data'!$H$2:$H$251)</f>
        <v>76443.04</v>
      </c>
      <c r="D29" s="23" t="n">
        <f aca="false">C29-B29</f>
        <v>1351.03</v>
      </c>
      <c r="E29" s="27" t="n">
        <f aca="false">D29/B29</f>
        <v>0.017991661163418</v>
      </c>
    </row>
    <row r="30" customFormat="false" ht="15" hidden="false" customHeight="true" outlineLevel="0" collapsed="false">
      <c r="A30" s="17" t="s">
        <v>51</v>
      </c>
      <c r="B30" s="26" t="n">
        <f aca="false">SUMIF('Raw Data'!$E$2:$E$251,$A30,'Raw Data'!$G$2:$G$251)</f>
        <v>109255.17</v>
      </c>
      <c r="C30" s="26" t="n">
        <f aca="false">SUMIF('Raw Data'!$E$2:$E$251,$A30,'Raw Data'!$H$2:$H$251)</f>
        <v>108944.32</v>
      </c>
      <c r="D30" s="23" t="n">
        <f aca="false">C30-B30</f>
        <v>-310.849999999991</v>
      </c>
      <c r="E30" s="27" t="n">
        <f aca="false">D30/B30</f>
        <v>-0.00284517428328555</v>
      </c>
    </row>
    <row r="31" customFormat="false" ht="15" hidden="false" customHeight="true" outlineLevel="0" collapsed="false">
      <c r="A31" s="17" t="s">
        <v>53</v>
      </c>
      <c r="B31" s="26" t="n">
        <f aca="false">SUMIF('Raw Data'!$E$2:$E$251,$A31,'Raw Data'!$G$2:$G$251)</f>
        <v>134917.12</v>
      </c>
      <c r="C31" s="26" t="n">
        <f aca="false">SUMIF('Raw Data'!$E$2:$E$251,$A31,'Raw Data'!$H$2:$H$251)</f>
        <v>132945.81</v>
      </c>
      <c r="D31" s="23" t="n">
        <f aca="false">C31-B31</f>
        <v>-1971.31</v>
      </c>
      <c r="E31" s="27" t="n">
        <f aca="false">D31/B31</f>
        <v>-0.0146112665316307</v>
      </c>
    </row>
    <row r="32" customFormat="false" ht="15" hidden="false" customHeight="true" outlineLevel="0" collapsed="false">
      <c r="A32" s="17" t="s">
        <v>57</v>
      </c>
      <c r="B32" s="26" t="n">
        <f aca="false">SUMIF('Raw Data'!$E$2:$E$251,$A32,'Raw Data'!$G$2:$G$251)</f>
        <v>94255.51</v>
      </c>
      <c r="C32" s="26" t="n">
        <f aca="false">SUMIF('Raw Data'!$E$2:$E$251,$A32,'Raw Data'!$H$2:$H$251)</f>
        <v>94829.9</v>
      </c>
      <c r="D32" s="23" t="n">
        <f aca="false">C32-B32</f>
        <v>574.389999999999</v>
      </c>
      <c r="E32" s="27" t="n">
        <f aca="false">D32/B32</f>
        <v>0.00609396734472074</v>
      </c>
    </row>
    <row r="34" customFormat="false" ht="15" hidden="false" customHeight="true" outlineLevel="0" collapsed="false">
      <c r="A34" s="12" t="s">
        <v>319</v>
      </c>
      <c r="B34" s="13"/>
      <c r="C34" s="13"/>
      <c r="D34" s="13"/>
      <c r="E34" s="13"/>
    </row>
    <row r="35" customFormat="false" ht="15" hidden="false" customHeight="true" outlineLevel="0" collapsed="false">
      <c r="A35" s="19" t="s">
        <v>18</v>
      </c>
      <c r="B35" s="19" t="s">
        <v>316</v>
      </c>
      <c r="C35" s="19" t="s">
        <v>317</v>
      </c>
      <c r="D35" s="19" t="s">
        <v>30</v>
      </c>
      <c r="E35" s="19" t="s">
        <v>308</v>
      </c>
    </row>
    <row r="36" customFormat="false" ht="15" hidden="false" customHeight="true" outlineLevel="0" collapsed="false">
      <c r="A36" s="17" t="s">
        <v>320</v>
      </c>
      <c r="B36" s="26" t="n">
        <f aca="false">SUMIF('Raw Data'!$C$2:$C$251,$A36,'Raw Data'!$G$2:$G$251)</f>
        <v>52019.5</v>
      </c>
      <c r="C36" s="26" t="n">
        <f aca="false">SUMIF('Raw Data'!$C$2:$C$251,$A36,'Raw Data'!$H$2:$H$251)</f>
        <v>53344.24</v>
      </c>
      <c r="D36" s="23" t="n">
        <f aca="false">C36-B36</f>
        <v>1324.74</v>
      </c>
      <c r="E36" s="27" t="n">
        <f aca="false">D36/B36</f>
        <v>0.0254662193984948</v>
      </c>
    </row>
    <row r="37" customFormat="false" ht="15" hidden="false" customHeight="true" outlineLevel="0" collapsed="false">
      <c r="A37" s="17" t="s">
        <v>321</v>
      </c>
      <c r="B37" s="26" t="n">
        <f aca="false">SUMIF('Raw Data'!$C$2:$C$251,$A37,'Raw Data'!$G$2:$G$251)</f>
        <v>51164.76</v>
      </c>
      <c r="C37" s="26" t="n">
        <f aca="false">SUMIF('Raw Data'!$C$2:$C$251,$A37,'Raw Data'!$H$2:$H$251)</f>
        <v>50163.01</v>
      </c>
      <c r="D37" s="23" t="n">
        <f aca="false">C37-B37</f>
        <v>-1001.75</v>
      </c>
      <c r="E37" s="27" t="n">
        <f aca="false">D37/B37</f>
        <v>-0.0195789054810381</v>
      </c>
    </row>
    <row r="38" customFormat="false" ht="15" hidden="false" customHeight="true" outlineLevel="0" collapsed="false">
      <c r="A38" s="17" t="s">
        <v>322</v>
      </c>
      <c r="B38" s="26" t="n">
        <f aca="false">SUMIF('Raw Data'!$C$2:$C$251,$A38,'Raw Data'!$G$2:$G$251)</f>
        <v>47008.12</v>
      </c>
      <c r="C38" s="26" t="n">
        <f aca="false">SUMIF('Raw Data'!$C$2:$C$251,$A38,'Raw Data'!$H$2:$H$251)</f>
        <v>48325.09</v>
      </c>
      <c r="D38" s="23" t="n">
        <f aca="false">C38-B38</f>
        <v>1316.96999999999</v>
      </c>
      <c r="E38" s="27" t="n">
        <f aca="false">D38/B38</f>
        <v>0.0280157981216861</v>
      </c>
    </row>
    <row r="39" customFormat="false" ht="15" hidden="false" customHeight="true" outlineLevel="0" collapsed="false">
      <c r="A39" s="17" t="s">
        <v>323</v>
      </c>
      <c r="B39" s="26" t="n">
        <f aca="false">SUMIF('Raw Data'!$C$2:$C$251,$A39,'Raw Data'!$G$2:$G$251)</f>
        <v>52502.46</v>
      </c>
      <c r="C39" s="26" t="n">
        <f aca="false">SUMIF('Raw Data'!$C$2:$C$251,$A39,'Raw Data'!$H$2:$H$251)</f>
        <v>58772.79</v>
      </c>
      <c r="D39" s="23" t="n">
        <f aca="false">C39-B39</f>
        <v>6270.33</v>
      </c>
      <c r="E39" s="27" t="n">
        <f aca="false">D39/B39</f>
        <v>0.119429261028912</v>
      </c>
    </row>
    <row r="40" customFormat="false" ht="15" hidden="false" customHeight="true" outlineLevel="0" collapsed="false">
      <c r="A40" s="17" t="s">
        <v>324</v>
      </c>
      <c r="B40" s="26" t="n">
        <f aca="false">SUMIF('Raw Data'!$C$2:$C$251,$A40,'Raw Data'!$G$2:$G$251)</f>
        <v>27105.71</v>
      </c>
      <c r="C40" s="26" t="n">
        <f aca="false">SUMIF('Raw Data'!$C$2:$C$251,$A40,'Raw Data'!$H$2:$H$251)</f>
        <v>29109.94</v>
      </c>
      <c r="D40" s="23" t="n">
        <f aca="false">C40-B40</f>
        <v>2004.23</v>
      </c>
      <c r="E40" s="27" t="n">
        <f aca="false">D40/B40</f>
        <v>0.0739412470656552</v>
      </c>
    </row>
    <row r="41" customFormat="false" ht="15" hidden="false" customHeight="true" outlineLevel="0" collapsed="false">
      <c r="A41" s="17" t="s">
        <v>325</v>
      </c>
      <c r="B41" s="26" t="n">
        <f aca="false">SUMIF('Raw Data'!$C$2:$C$251,$A41,'Raw Data'!$G$2:$G$251)</f>
        <v>42943.98</v>
      </c>
      <c r="C41" s="26" t="n">
        <f aca="false">SUMIF('Raw Data'!$C$2:$C$251,$A41,'Raw Data'!$H$2:$H$251)</f>
        <v>42340.5</v>
      </c>
      <c r="D41" s="23" t="n">
        <f aca="false">C41-B41</f>
        <v>-603.480000000003</v>
      </c>
      <c r="E41" s="27" t="n">
        <f aca="false">D41/B41</f>
        <v>-0.0140527263658376</v>
      </c>
    </row>
    <row r="42" customFormat="false" ht="15" hidden="false" customHeight="true" outlineLevel="0" collapsed="false">
      <c r="A42" s="17" t="s">
        <v>326</v>
      </c>
      <c r="B42" s="26" t="n">
        <f aca="false">SUMIF('Raw Data'!$C$2:$C$251,$A42,'Raw Data'!$G$2:$G$251)</f>
        <v>41685.16</v>
      </c>
      <c r="C42" s="26" t="n">
        <f aca="false">SUMIF('Raw Data'!$C$2:$C$251,$A42,'Raw Data'!$H$2:$H$251)</f>
        <v>41118.07</v>
      </c>
      <c r="D42" s="23" t="n">
        <f aca="false">C42-B42</f>
        <v>-567.090000000004</v>
      </c>
      <c r="E42" s="27" t="n">
        <f aca="false">D42/B42</f>
        <v>-0.0136041219465153</v>
      </c>
    </row>
    <row r="43" customFormat="false" ht="15" hidden="false" customHeight="true" outlineLevel="0" collapsed="false">
      <c r="A43" s="17" t="s">
        <v>327</v>
      </c>
      <c r="B43" s="26" t="n">
        <f aca="false">SUMIF('Raw Data'!$C$2:$C$251,$A43,'Raw Data'!$G$2:$G$251)</f>
        <v>90401.78</v>
      </c>
      <c r="C43" s="26" t="n">
        <f aca="false">SUMIF('Raw Data'!$C$2:$C$251,$A43,'Raw Data'!$H$2:$H$251)</f>
        <v>94734.38</v>
      </c>
      <c r="D43" s="23" t="n">
        <f aca="false">C43-B43</f>
        <v>4332.60000000001</v>
      </c>
      <c r="E43" s="27" t="n">
        <f aca="false">D43/B43</f>
        <v>0.0479260474738441</v>
      </c>
    </row>
    <row r="44" customFormat="false" ht="15" hidden="false" customHeight="true" outlineLevel="0" collapsed="false">
      <c r="A44" s="17" t="s">
        <v>328</v>
      </c>
      <c r="B44" s="26" t="n">
        <f aca="false">SUMIF('Raw Data'!$C$2:$C$251,$A44,'Raw Data'!$G$2:$G$251)</f>
        <v>34057.21</v>
      </c>
      <c r="C44" s="26" t="n">
        <f aca="false">SUMIF('Raw Data'!$C$2:$C$251,$A44,'Raw Data'!$H$2:$H$251)</f>
        <v>31909.58</v>
      </c>
      <c r="D44" s="23" t="n">
        <f aca="false">C44-B44</f>
        <v>-2147.63</v>
      </c>
      <c r="E44" s="27" t="n">
        <f aca="false">D44/B44</f>
        <v>-0.0630594813844117</v>
      </c>
    </row>
    <row r="45" customFormat="false" ht="15" hidden="false" customHeight="true" outlineLevel="0" collapsed="false">
      <c r="A45" s="17" t="s">
        <v>329</v>
      </c>
      <c r="B45" s="26" t="n">
        <f aca="false">SUMIF('Raw Data'!$C$2:$C$251,$A45,'Raw Data'!$G$2:$G$251)</f>
        <v>49872.18</v>
      </c>
      <c r="C45" s="26" t="n">
        <f aca="false">SUMIF('Raw Data'!$C$2:$C$251,$A45,'Raw Data'!$H$2:$H$251)</f>
        <v>52438.26</v>
      </c>
      <c r="D45" s="23" t="n">
        <f aca="false">C45-B45</f>
        <v>2566.08</v>
      </c>
      <c r="E45" s="27" t="n">
        <f aca="false">D45/B45</f>
        <v>0.0514531347937869</v>
      </c>
    </row>
    <row r="46" customFormat="false" ht="15" hidden="false" customHeight="true" outlineLevel="0" collapsed="false">
      <c r="A46" s="17" t="s">
        <v>330</v>
      </c>
      <c r="B46" s="26" t="n">
        <f aca="false">SUMIF('Raw Data'!$C$2:$C$251,$A46,'Raw Data'!$G$2:$G$251)</f>
        <v>46134.32</v>
      </c>
      <c r="C46" s="26" t="n">
        <f aca="false">SUMIF('Raw Data'!$C$2:$C$251,$A46,'Raw Data'!$H$2:$H$251)</f>
        <v>42898.58</v>
      </c>
      <c r="D46" s="23" t="n">
        <f aca="false">C46-B46</f>
        <v>-3235.74</v>
      </c>
      <c r="E46" s="27" t="n">
        <f aca="false">D46/B46</f>
        <v>-0.0701373727845127</v>
      </c>
    </row>
    <row r="47" customFormat="false" ht="15" hidden="false" customHeight="true" outlineLevel="0" collapsed="false">
      <c r="A47" s="17" t="s">
        <v>331</v>
      </c>
      <c r="B47" s="26" t="n">
        <f aca="false">SUMIF('Raw Data'!$C$2:$C$251,$A47,'Raw Data'!$G$2:$G$251)</f>
        <v>78009.01</v>
      </c>
      <c r="C47" s="26" t="n">
        <f aca="false">SUMIF('Raw Data'!$C$2:$C$251,$A47,'Raw Data'!$H$2:$H$251)</f>
        <v>80786.41</v>
      </c>
      <c r="D47" s="23" t="n">
        <f aca="false">C47-B47</f>
        <v>2777.40000000001</v>
      </c>
      <c r="E47" s="27" t="n">
        <f aca="false">D47/B47</f>
        <v>0.0356035796377881</v>
      </c>
    </row>
    <row r="49" customFormat="false" ht="15" hidden="false" customHeight="true" outlineLevel="0" collapsed="false">
      <c r="A49" s="12" t="s">
        <v>332</v>
      </c>
      <c r="B49" s="13"/>
      <c r="C49" s="13"/>
      <c r="D49" s="13"/>
      <c r="E49" s="13"/>
    </row>
    <row r="50" customFormat="false" ht="15" hidden="false" customHeight="true" outlineLevel="0" collapsed="false">
      <c r="A50" s="19" t="s">
        <v>19</v>
      </c>
      <c r="B50" s="19" t="s">
        <v>316</v>
      </c>
      <c r="C50" s="19" t="s">
        <v>317</v>
      </c>
      <c r="D50" s="19" t="s">
        <v>30</v>
      </c>
      <c r="E50" s="19" t="s">
        <v>308</v>
      </c>
    </row>
    <row r="51" customFormat="false" ht="15" hidden="false" customHeight="true" outlineLevel="0" collapsed="false">
      <c r="A51" s="17" t="s">
        <v>38</v>
      </c>
      <c r="B51" s="26" t="n">
        <f aca="false">SUMIF('Raw Data'!$F$2:$F$251,$A51,'Raw Data'!$G$2:$G$251)</f>
        <v>287037.98</v>
      </c>
      <c r="C51" s="26" t="n">
        <f aca="false">SUMIF('Raw Data'!$F$2:$F$251,$A51,'Raw Data'!$H$2:$H$251)</f>
        <v>294760.15</v>
      </c>
      <c r="D51" s="23" t="n">
        <f aca="false">C51-B51</f>
        <v>7722.17000000004</v>
      </c>
      <c r="E51" s="27" t="n">
        <f aca="false">D51/B51</f>
        <v>0.0269029554904199</v>
      </c>
    </row>
    <row r="52" customFormat="false" ht="15" hidden="false" customHeight="true" outlineLevel="0" collapsed="false">
      <c r="A52" s="17" t="s">
        <v>59</v>
      </c>
      <c r="B52" s="26" t="n">
        <f aca="false">SUMIF('Raw Data'!$F$2:$F$251,$A52,'Raw Data'!$G$2:$G$251)</f>
        <v>34307.35</v>
      </c>
      <c r="C52" s="26" t="n">
        <f aca="false">SUMIF('Raw Data'!$F$2:$F$251,$A52,'Raw Data'!$H$2:$H$251)</f>
        <v>34275.54</v>
      </c>
      <c r="D52" s="23" t="n">
        <f aca="false">C52-B52</f>
        <v>-31.8099999999977</v>
      </c>
      <c r="E52" s="27" t="n">
        <f aca="false">D52/B52</f>
        <v>-0.000927206560693195</v>
      </c>
    </row>
    <row r="53" customFormat="false" ht="15" hidden="false" customHeight="true" outlineLevel="0" collapsed="false">
      <c r="A53" s="17" t="s">
        <v>54</v>
      </c>
      <c r="B53" s="26" t="n">
        <f aca="false">SUMIF('Raw Data'!$F$2:$F$251,$A53,'Raw Data'!$G$2:$G$251)</f>
        <v>32496.07</v>
      </c>
      <c r="C53" s="26" t="n">
        <f aca="false">SUMIF('Raw Data'!$F$2:$F$251,$A53,'Raw Data'!$H$2:$H$251)</f>
        <v>32826.98</v>
      </c>
      <c r="D53" s="23" t="n">
        <f aca="false">C53-B53</f>
        <v>330.910000000004</v>
      </c>
      <c r="E53" s="27" t="n">
        <f aca="false">D53/B53</f>
        <v>0.0101830775229129</v>
      </c>
    </row>
    <row r="54" customFormat="false" ht="15" hidden="false" customHeight="true" outlineLevel="0" collapsed="false">
      <c r="A54" s="17" t="s">
        <v>48</v>
      </c>
      <c r="B54" s="26" t="n">
        <f aca="false">SUMIF('Raw Data'!$F$2:$F$251,$A54,'Raw Data'!$G$2:$G$251)</f>
        <v>10762.13</v>
      </c>
      <c r="C54" s="26" t="n">
        <f aca="false">SUMIF('Raw Data'!$F$2:$F$251,$A54,'Raw Data'!$H$2:$H$251)</f>
        <v>11324.12</v>
      </c>
      <c r="D54" s="23" t="n">
        <f aca="false">C54-B54</f>
        <v>561.990000000002</v>
      </c>
      <c r="E54" s="27" t="n">
        <f aca="false">D54/B54</f>
        <v>0.0522192168278957</v>
      </c>
    </row>
    <row r="55" customFormat="false" ht="15" hidden="false" customHeight="true" outlineLevel="0" collapsed="false">
      <c r="A55" s="17" t="s">
        <v>35</v>
      </c>
      <c r="B55" s="26" t="n">
        <f aca="false">SUMIF('Raw Data'!$F$2:$F$251,$A55,'Raw Data'!$G$2:$G$251)</f>
        <v>89770.05</v>
      </c>
      <c r="C55" s="26" t="n">
        <f aca="false">SUMIF('Raw Data'!$F$2:$F$251,$A55,'Raw Data'!$H$2:$H$251)</f>
        <v>92787.32</v>
      </c>
      <c r="D55" s="23" t="n">
        <f aca="false">C55-B55</f>
        <v>3017.26999999999</v>
      </c>
      <c r="E55" s="27" t="n">
        <f aca="false">D55/B55</f>
        <v>0.0336110985790917</v>
      </c>
    </row>
    <row r="56" customFormat="false" ht="15" hidden="false" customHeight="true" outlineLevel="0" collapsed="false">
      <c r="A56" s="17" t="s">
        <v>45</v>
      </c>
      <c r="B56" s="26" t="n">
        <f aca="false">SUMIF('Raw Data'!$F$2:$F$251,$A56,'Raw Data'!$G$2:$G$251)</f>
        <v>20992.78</v>
      </c>
      <c r="C56" s="26" t="n">
        <f aca="false">SUMIF('Raw Data'!$F$2:$F$251,$A56,'Raw Data'!$H$2:$H$251)</f>
        <v>20839.79</v>
      </c>
      <c r="D56" s="23" t="n">
        <f aca="false">C56-B56</f>
        <v>-152.989999999998</v>
      </c>
      <c r="E56" s="27" t="n">
        <f aca="false">D56/B56</f>
        <v>-0.00728774369092602</v>
      </c>
    </row>
    <row r="57" customFormat="false" ht="15" hidden="false" customHeight="true" outlineLevel="0" collapsed="false">
      <c r="A57" s="17" t="s">
        <v>62</v>
      </c>
      <c r="B57" s="26" t="n">
        <f aca="false">SUMIF('Raw Data'!$F$2:$F$251,$A57,'Raw Data'!$G$2:$G$251)</f>
        <v>108461.03</v>
      </c>
      <c r="C57" s="26" t="n">
        <f aca="false">SUMIF('Raw Data'!$F$2:$F$251,$A57,'Raw Data'!$H$2:$H$251)</f>
        <v>110865.67</v>
      </c>
      <c r="D57" s="23" t="n">
        <f aca="false">C57-B57</f>
        <v>2404.64</v>
      </c>
      <c r="E57" s="27" t="n">
        <f aca="false">D57/B57</f>
        <v>0.0221705436505628</v>
      </c>
    </row>
    <row r="58" customFormat="false" ht="15" hidden="false" customHeight="true" outlineLevel="0" collapsed="false">
      <c r="A58" s="17" t="s">
        <v>41</v>
      </c>
      <c r="B58" s="26" t="n">
        <f aca="false">SUMIF('Raw Data'!$F$2:$F$251,$A58,'Raw Data'!$G$2:$G$251)</f>
        <v>29076.8</v>
      </c>
      <c r="C58" s="26" t="n">
        <f aca="false">SUMIF('Raw Data'!$F$2:$F$251,$A58,'Raw Data'!$H$2:$H$251)</f>
        <v>28261.28</v>
      </c>
      <c r="D58" s="23" t="n">
        <f aca="false">C58-B58</f>
        <v>-815.52</v>
      </c>
      <c r="E58" s="27" t="n">
        <f aca="false">D58/B58</f>
        <v>-0.0280471028448798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4" t="s">
        <v>333</v>
      </c>
    </row>
    <row r="2" customFormat="false" ht="15" hidden="false" customHeight="true" outlineLevel="0" collapsed="false">
      <c r="A2" s="25" t="s">
        <v>334</v>
      </c>
    </row>
    <row r="4" customFormat="false" ht="15" hidden="false" customHeight="true" outlineLevel="0" collapsed="false">
      <c r="A4" s="12" t="s">
        <v>335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9" t="s">
        <v>15</v>
      </c>
      <c r="B5" s="19" t="s">
        <v>34</v>
      </c>
      <c r="C5" s="19" t="s">
        <v>40</v>
      </c>
      <c r="D5" s="19" t="s">
        <v>43</v>
      </c>
      <c r="E5" s="19" t="s">
        <v>51</v>
      </c>
      <c r="F5" s="19" t="s">
        <v>53</v>
      </c>
      <c r="G5" s="19" t="s">
        <v>57</v>
      </c>
      <c r="H5" s="19" t="s">
        <v>336</v>
      </c>
    </row>
    <row r="6" customFormat="false" ht="15" hidden="false" customHeight="true" outlineLevel="0" collapsed="false">
      <c r="A6" s="17" t="s">
        <v>33</v>
      </c>
      <c r="B6" s="16" t="n">
        <f aca="false">SUMIFS('Raw Data'!$H$2:$H$251,'Raw Data'!$D$2:$D$251,$A6,'Raw Data'!$E$2:$E$251,B$5)</f>
        <v>46209.81</v>
      </c>
      <c r="C6" s="16" t="n">
        <f aca="false">SUMIFS('Raw Data'!$H$2:$H$251,'Raw Data'!$D$2:$D$251,$A6,'Raw Data'!$E$2:$E$251,C$5)</f>
        <v>21218.17</v>
      </c>
      <c r="D6" s="16" t="n">
        <f aca="false">SUMIFS('Raw Data'!$H$2:$H$251,'Raw Data'!$D$2:$D$251,$A6,'Raw Data'!$E$2:$E$251,D$5)</f>
        <v>25740.15</v>
      </c>
      <c r="E6" s="16" t="n">
        <f aca="false">SUMIFS('Raw Data'!$H$2:$H$251,'Raw Data'!$D$2:$D$251,$A6,'Raw Data'!$E$2:$E$251,E$5)</f>
        <v>18829.69</v>
      </c>
      <c r="F6" s="16" t="n">
        <f aca="false">SUMIFS('Raw Data'!$H$2:$H$251,'Raw Data'!$D$2:$D$251,$A6,'Raw Data'!$E$2:$E$251,F$5)</f>
        <v>27916.19</v>
      </c>
      <c r="G6" s="16" t="n">
        <f aca="false">SUMIFS('Raw Data'!$H$2:$H$251,'Raw Data'!$D$2:$D$251,$A6,'Raw Data'!$E$2:$E$251,G$5)</f>
        <v>51567.43</v>
      </c>
      <c r="H6" s="28" t="n">
        <f aca="false">SUM(B6:G6)</f>
        <v>191481.44</v>
      </c>
    </row>
    <row r="7" customFormat="false" ht="15" hidden="false" customHeight="true" outlineLevel="0" collapsed="false">
      <c r="A7" s="17" t="s">
        <v>56</v>
      </c>
      <c r="B7" s="16" t="n">
        <f aca="false">SUMIFS('Raw Data'!$H$2:$H$251,'Raw Data'!$D$2:$D$251,$A7,'Raw Data'!$E$2:$E$251,B$5)</f>
        <v>10140.8</v>
      </c>
      <c r="C7" s="16" t="n">
        <f aca="false">SUMIFS('Raw Data'!$H$2:$H$251,'Raw Data'!$D$2:$D$251,$A7,'Raw Data'!$E$2:$E$251,C$5)</f>
        <v>29551.43</v>
      </c>
      <c r="D7" s="16" t="n">
        <f aca="false">SUMIFS('Raw Data'!$H$2:$H$251,'Raw Data'!$D$2:$D$251,$A7,'Raw Data'!$E$2:$E$251,D$5)</f>
        <v>12144.68</v>
      </c>
      <c r="E7" s="16" t="n">
        <f aca="false">SUMIFS('Raw Data'!$H$2:$H$251,'Raw Data'!$D$2:$D$251,$A7,'Raw Data'!$E$2:$E$251,E$5)</f>
        <v>27304.72</v>
      </c>
      <c r="F7" s="16" t="n">
        <f aca="false">SUMIFS('Raw Data'!$H$2:$H$251,'Raw Data'!$D$2:$D$251,$A7,'Raw Data'!$E$2:$E$251,F$5)</f>
        <v>25782.67</v>
      </c>
      <c r="G7" s="16" t="n">
        <f aca="false">SUMIFS('Raw Data'!$H$2:$H$251,'Raw Data'!$D$2:$D$251,$A7,'Raw Data'!$E$2:$E$251,G$5)</f>
        <v>20424.06</v>
      </c>
      <c r="H7" s="28" t="n">
        <f aca="false">SUM(B7:G7)</f>
        <v>125348.36</v>
      </c>
    </row>
    <row r="8" customFormat="false" ht="15" hidden="false" customHeight="true" outlineLevel="0" collapsed="false">
      <c r="A8" s="17" t="s">
        <v>50</v>
      </c>
      <c r="B8" s="16" t="n">
        <f aca="false">SUMIFS('Raw Data'!$H$2:$H$251,'Raw Data'!$D$2:$D$251,$A8,'Raw Data'!$E$2:$E$251,B$5)</f>
        <v>45211.29</v>
      </c>
      <c r="C8" s="16" t="n">
        <f aca="false">SUMIFS('Raw Data'!$H$2:$H$251,'Raw Data'!$D$2:$D$251,$A8,'Raw Data'!$E$2:$E$251,C$5)</f>
        <v>23351.78</v>
      </c>
      <c r="D8" s="16" t="n">
        <f aca="false">SUMIFS('Raw Data'!$H$2:$H$251,'Raw Data'!$D$2:$D$251,$A8,'Raw Data'!$E$2:$E$251,D$5)</f>
        <v>9662.06</v>
      </c>
      <c r="E8" s="16" t="n">
        <f aca="false">SUMIFS('Raw Data'!$H$2:$H$251,'Raw Data'!$D$2:$D$251,$A8,'Raw Data'!$E$2:$E$251,E$5)</f>
        <v>51414.45</v>
      </c>
      <c r="F8" s="16" t="n">
        <f aca="false">SUMIFS('Raw Data'!$H$2:$H$251,'Raw Data'!$D$2:$D$251,$A8,'Raw Data'!$E$2:$E$251,F$5)</f>
        <v>24326.79</v>
      </c>
      <c r="G8" s="16" t="n">
        <f aca="false">SUMIFS('Raw Data'!$H$2:$H$251,'Raw Data'!$D$2:$D$251,$A8,'Raw Data'!$E$2:$E$251,G$5)</f>
        <v>18503.89</v>
      </c>
      <c r="H8" s="28" t="n">
        <f aca="false">SUM(B8:G8)</f>
        <v>172470.26</v>
      </c>
    </row>
    <row r="9" customFormat="false" ht="15" hidden="false" customHeight="true" outlineLevel="0" collapsed="false">
      <c r="A9" s="17" t="s">
        <v>37</v>
      </c>
      <c r="B9" s="16" t="n">
        <f aca="false">SUMIFS('Raw Data'!$H$2:$H$251,'Raw Data'!$D$2:$D$251,$A9,'Raw Data'!$E$2:$E$251,B$5)</f>
        <v>29687.28</v>
      </c>
      <c r="C9" s="16" t="n">
        <f aca="false">SUMIFS('Raw Data'!$H$2:$H$251,'Raw Data'!$D$2:$D$251,$A9,'Raw Data'!$E$2:$E$251,C$5)</f>
        <v>7407.22</v>
      </c>
      <c r="D9" s="16" t="n">
        <f aca="false">SUMIFS('Raw Data'!$H$2:$H$251,'Raw Data'!$D$2:$D$251,$A9,'Raw Data'!$E$2:$E$251,D$5)</f>
        <v>28896.15</v>
      </c>
      <c r="E9" s="16" t="n">
        <f aca="false">SUMIFS('Raw Data'!$H$2:$H$251,'Raw Data'!$D$2:$D$251,$A9,'Raw Data'!$E$2:$E$251,E$5)</f>
        <v>11395.46</v>
      </c>
      <c r="F9" s="16" t="n">
        <f aca="false">SUMIFS('Raw Data'!$H$2:$H$251,'Raw Data'!$D$2:$D$251,$A9,'Raw Data'!$E$2:$E$251,F$5)</f>
        <v>54920.16</v>
      </c>
      <c r="G9" s="16" t="n">
        <f aca="false">SUMIFS('Raw Data'!$H$2:$H$251,'Raw Data'!$D$2:$D$251,$A9,'Raw Data'!$E$2:$E$251,G$5)</f>
        <v>4334.52</v>
      </c>
      <c r="H9" s="28" t="n">
        <f aca="false">SUM(B9:G9)</f>
        <v>136640.79</v>
      </c>
    </row>
    <row r="10" customFormat="false" ht="15" hidden="false" customHeight="true" outlineLevel="0" collapsed="false">
      <c r="A10" s="29" t="s">
        <v>336</v>
      </c>
      <c r="B10" s="30" t="n">
        <f aca="false">SUM(B6:B9)</f>
        <v>131249.18</v>
      </c>
      <c r="C10" s="30" t="n">
        <f aca="false">SUM(C6:C9)</f>
        <v>81528.6</v>
      </c>
      <c r="D10" s="30" t="n">
        <f aca="false">SUM(D6:D9)</f>
        <v>76443.04</v>
      </c>
      <c r="E10" s="30" t="n">
        <f aca="false">SUM(E6:E9)</f>
        <v>108944.32</v>
      </c>
      <c r="F10" s="30" t="n">
        <f aca="false">SUM(F6:F9)</f>
        <v>132945.81</v>
      </c>
      <c r="G10" s="30" t="n">
        <f aca="false">SUM(G6:G9)</f>
        <v>94829.9</v>
      </c>
      <c r="H10" s="30" t="n">
        <f aca="false">SUM(H6:H9)</f>
        <v>625940.85</v>
      </c>
    </row>
    <row r="13" customFormat="false" ht="15" hidden="false" customHeight="true" outlineLevel="0" collapsed="false">
      <c r="A13" s="12" t="s">
        <v>337</v>
      </c>
      <c r="B13" s="13"/>
      <c r="C13" s="13"/>
      <c r="D13" s="13"/>
      <c r="E13" s="13"/>
    </row>
    <row r="14" customFormat="false" ht="15" hidden="false" customHeight="true" outlineLevel="0" collapsed="false">
      <c r="A14" s="19" t="s">
        <v>19</v>
      </c>
      <c r="B14" s="19" t="s">
        <v>23</v>
      </c>
      <c r="C14" s="19" t="s">
        <v>24</v>
      </c>
      <c r="D14" s="19" t="s">
        <v>25</v>
      </c>
      <c r="E14" s="19" t="s">
        <v>336</v>
      </c>
    </row>
    <row r="15" customFormat="false" ht="15" hidden="false" customHeight="true" outlineLevel="0" collapsed="false">
      <c r="A15" s="17" t="s">
        <v>38</v>
      </c>
      <c r="B15" s="18" t="n">
        <f aca="false">COUNTIFS('Raw Data'!$F$2:$F$251,$A15,'Raw Data'!$J$2:$J$251,B$14)</f>
        <v>20</v>
      </c>
      <c r="C15" s="18" t="n">
        <f aca="false">COUNTIFS('Raw Data'!$F$2:$F$251,$A15,'Raw Data'!$J$2:$J$251,C$14)</f>
        <v>5</v>
      </c>
      <c r="D15" s="18" t="n">
        <f aca="false">COUNTIFS('Raw Data'!$F$2:$F$251,$A15,'Raw Data'!$J$2:$J$251,D$14)</f>
        <v>7</v>
      </c>
      <c r="E15" s="31" t="n">
        <f aca="false">SUM(B15:D15)</f>
        <v>32</v>
      </c>
    </row>
    <row r="16" customFormat="false" ht="15" hidden="false" customHeight="true" outlineLevel="0" collapsed="false">
      <c r="A16" s="17" t="s">
        <v>59</v>
      </c>
      <c r="B16" s="18" t="n">
        <f aca="false">COUNTIFS('Raw Data'!$F$2:$F$251,$A16,'Raw Data'!$J$2:$J$251,B$14)</f>
        <v>17</v>
      </c>
      <c r="C16" s="18" t="n">
        <f aca="false">COUNTIFS('Raw Data'!$F$2:$F$251,$A16,'Raw Data'!$J$2:$J$251,C$14)</f>
        <v>6</v>
      </c>
      <c r="D16" s="18" t="n">
        <f aca="false">COUNTIFS('Raw Data'!$F$2:$F$251,$A16,'Raw Data'!$J$2:$J$251,D$14)</f>
        <v>3</v>
      </c>
      <c r="E16" s="31" t="n">
        <f aca="false">SUM(B16:D16)</f>
        <v>26</v>
      </c>
    </row>
    <row r="17" customFormat="false" ht="15" hidden="false" customHeight="true" outlineLevel="0" collapsed="false">
      <c r="A17" s="17" t="s">
        <v>54</v>
      </c>
      <c r="B17" s="18" t="n">
        <f aca="false">COUNTIFS('Raw Data'!$F$2:$F$251,$A17,'Raw Data'!$J$2:$J$251,B$14)</f>
        <v>21</v>
      </c>
      <c r="C17" s="18" t="n">
        <f aca="false">COUNTIFS('Raw Data'!$F$2:$F$251,$A17,'Raw Data'!$J$2:$J$251,C$14)</f>
        <v>7</v>
      </c>
      <c r="D17" s="18" t="n">
        <f aca="false">COUNTIFS('Raw Data'!$F$2:$F$251,$A17,'Raw Data'!$J$2:$J$251,D$14)</f>
        <v>4</v>
      </c>
      <c r="E17" s="31" t="n">
        <f aca="false">SUM(B17:D17)</f>
        <v>32</v>
      </c>
    </row>
    <row r="18" customFormat="false" ht="15" hidden="false" customHeight="true" outlineLevel="0" collapsed="false">
      <c r="A18" s="17" t="s">
        <v>48</v>
      </c>
      <c r="B18" s="18" t="n">
        <f aca="false">COUNTIFS('Raw Data'!$F$2:$F$251,$A18,'Raw Data'!$J$2:$J$251,B$14)</f>
        <v>24</v>
      </c>
      <c r="C18" s="18" t="n">
        <f aca="false">COUNTIFS('Raw Data'!$F$2:$F$251,$A18,'Raw Data'!$J$2:$J$251,C$14)</f>
        <v>6</v>
      </c>
      <c r="D18" s="18" t="n">
        <f aca="false">COUNTIFS('Raw Data'!$F$2:$F$251,$A18,'Raw Data'!$J$2:$J$251,D$14)</f>
        <v>2</v>
      </c>
      <c r="E18" s="31" t="n">
        <f aca="false">SUM(B18:D18)</f>
        <v>32</v>
      </c>
    </row>
    <row r="19" customFormat="false" ht="15" hidden="false" customHeight="true" outlineLevel="0" collapsed="false">
      <c r="A19" s="17" t="s">
        <v>35</v>
      </c>
      <c r="B19" s="18" t="n">
        <f aca="false">COUNTIFS('Raw Data'!$F$2:$F$251,$A19,'Raw Data'!$J$2:$J$251,B$14)</f>
        <v>21</v>
      </c>
      <c r="C19" s="18" t="n">
        <f aca="false">COUNTIFS('Raw Data'!$F$2:$F$251,$A19,'Raw Data'!$J$2:$J$251,C$14)</f>
        <v>6</v>
      </c>
      <c r="D19" s="18" t="n">
        <f aca="false">COUNTIFS('Raw Data'!$F$2:$F$251,$A19,'Raw Data'!$J$2:$J$251,D$14)</f>
        <v>4</v>
      </c>
      <c r="E19" s="31" t="n">
        <f aca="false">SUM(B19:D19)</f>
        <v>31</v>
      </c>
    </row>
    <row r="20" customFormat="false" ht="15" hidden="false" customHeight="true" outlineLevel="0" collapsed="false">
      <c r="A20" s="17" t="s">
        <v>45</v>
      </c>
      <c r="B20" s="18" t="n">
        <f aca="false">COUNTIFS('Raw Data'!$F$2:$F$251,$A20,'Raw Data'!$J$2:$J$251,B$14)</f>
        <v>21</v>
      </c>
      <c r="C20" s="18" t="n">
        <f aca="false">COUNTIFS('Raw Data'!$F$2:$F$251,$A20,'Raw Data'!$J$2:$J$251,C$14)</f>
        <v>6</v>
      </c>
      <c r="D20" s="18" t="n">
        <f aca="false">COUNTIFS('Raw Data'!$F$2:$F$251,$A20,'Raw Data'!$J$2:$J$251,D$14)</f>
        <v>2</v>
      </c>
      <c r="E20" s="31" t="n">
        <f aca="false">SUM(B20:D20)</f>
        <v>29</v>
      </c>
    </row>
    <row r="21" customFormat="false" ht="15" hidden="false" customHeight="true" outlineLevel="0" collapsed="false">
      <c r="A21" s="17" t="s">
        <v>62</v>
      </c>
      <c r="B21" s="18" t="n">
        <f aca="false">COUNTIFS('Raw Data'!$F$2:$F$251,$A21,'Raw Data'!$J$2:$J$251,B$14)</f>
        <v>21</v>
      </c>
      <c r="C21" s="18" t="n">
        <f aca="false">COUNTIFS('Raw Data'!$F$2:$F$251,$A21,'Raw Data'!$J$2:$J$251,C$14)</f>
        <v>9</v>
      </c>
      <c r="D21" s="18" t="n">
        <f aca="false">COUNTIFS('Raw Data'!$F$2:$F$251,$A21,'Raw Data'!$J$2:$J$251,D$14)</f>
        <v>0</v>
      </c>
      <c r="E21" s="31" t="n">
        <f aca="false">SUM(B21:D21)</f>
        <v>30</v>
      </c>
    </row>
    <row r="22" customFormat="false" ht="15" hidden="false" customHeight="true" outlineLevel="0" collapsed="false">
      <c r="A22" s="17" t="s">
        <v>41</v>
      </c>
      <c r="B22" s="18" t="n">
        <f aca="false">COUNTIFS('Raw Data'!$F$2:$F$251,$A22,'Raw Data'!$J$2:$J$251,B$14)</f>
        <v>30</v>
      </c>
      <c r="C22" s="18" t="n">
        <f aca="false">COUNTIFS('Raw Data'!$F$2:$F$251,$A22,'Raw Data'!$J$2:$J$251,C$14)</f>
        <v>7</v>
      </c>
      <c r="D22" s="18" t="n">
        <f aca="false">COUNTIFS('Raw Data'!$F$2:$F$251,$A22,'Raw Data'!$J$2:$J$251,D$14)</f>
        <v>1</v>
      </c>
      <c r="E22" s="31" t="n">
        <f aca="false">SUM(B22:D22)</f>
        <v>38</v>
      </c>
    </row>
    <row r="23" customFormat="false" ht="15" hidden="false" customHeight="true" outlineLevel="0" collapsed="false">
      <c r="A23" s="29" t="s">
        <v>336</v>
      </c>
      <c r="B23" s="32" t="n">
        <f aca="false">SUM(B15:B22)</f>
        <v>175</v>
      </c>
      <c r="C23" s="32" t="n">
        <f aca="false">SUM(C15:C22)</f>
        <v>52</v>
      </c>
      <c r="D23" s="32" t="n">
        <f aca="false">SUM(D15:D22)</f>
        <v>23</v>
      </c>
      <c r="E23" s="32" t="n">
        <f aca="false">SUM(E15:E22)</f>
        <v>250</v>
      </c>
    </row>
    <row r="26" customFormat="false" ht="15" hidden="false" customHeight="true" outlineLevel="0" collapsed="false">
      <c r="A26" s="12" t="s">
        <v>338</v>
      </c>
      <c r="B26" s="13"/>
      <c r="C26" s="13"/>
      <c r="D26" s="13"/>
      <c r="E26" s="13"/>
      <c r="F26" s="13"/>
    </row>
    <row r="27" customFormat="false" ht="15" hidden="false" customHeight="true" outlineLevel="0" collapsed="false">
      <c r="A27" s="19" t="s">
        <v>18</v>
      </c>
      <c r="B27" s="19" t="s">
        <v>33</v>
      </c>
      <c r="C27" s="19" t="s">
        <v>56</v>
      </c>
      <c r="D27" s="19" t="s">
        <v>50</v>
      </c>
      <c r="E27" s="19" t="s">
        <v>37</v>
      </c>
      <c r="F27" s="19" t="s">
        <v>336</v>
      </c>
    </row>
    <row r="28" customFormat="false" ht="15" hidden="false" customHeight="true" outlineLevel="0" collapsed="false">
      <c r="A28" s="17" t="s">
        <v>320</v>
      </c>
      <c r="B28" s="33" t="n">
        <f aca="false">SUMIFS('Raw Data'!$I$2:$I$251,'Raw Data'!$C$2:$C$251,$A28,'Raw Data'!$D$2:$D$251,B$27)</f>
        <v>684.93</v>
      </c>
      <c r="C28" s="33" t="n">
        <f aca="false">SUMIFS('Raw Data'!$I$2:$I$251,'Raw Data'!$C$2:$C$251,$A28,'Raw Data'!$D$2:$D$251,C$27)</f>
        <v>-1257.2</v>
      </c>
      <c r="D28" s="33" t="n">
        <f aca="false">SUMIFS('Raw Data'!$I$2:$I$251,'Raw Data'!$C$2:$C$251,$A28,'Raw Data'!$D$2:$D$251,D$27)</f>
        <v>2001.93</v>
      </c>
      <c r="E28" s="33" t="n">
        <f aca="false">SUMIFS('Raw Data'!$I$2:$I$251,'Raw Data'!$C$2:$C$251,$A28,'Raw Data'!$D$2:$D$251,E$27)</f>
        <v>-104.919999999999</v>
      </c>
      <c r="F28" s="34" t="n">
        <f aca="false">SUM(B28:E28)</f>
        <v>1324.74</v>
      </c>
    </row>
    <row r="29" customFormat="false" ht="15" hidden="false" customHeight="true" outlineLevel="0" collapsed="false">
      <c r="A29" s="17" t="s">
        <v>321</v>
      </c>
      <c r="B29" s="33" t="n">
        <f aca="false">SUMIFS('Raw Data'!$I$2:$I$251,'Raw Data'!$C$2:$C$251,$A29,'Raw Data'!$D$2:$D$251,B$27)</f>
        <v>667.490000000001</v>
      </c>
      <c r="C29" s="33" t="n">
        <f aca="false">SUMIFS('Raw Data'!$I$2:$I$251,'Raw Data'!$C$2:$C$251,$A29,'Raw Data'!$D$2:$D$251,C$27)</f>
        <v>-497.36</v>
      </c>
      <c r="D29" s="33" t="n">
        <f aca="false">SUMIFS('Raw Data'!$I$2:$I$251,'Raw Data'!$C$2:$C$251,$A29,'Raw Data'!$D$2:$D$251,D$27)</f>
        <v>-333.569999999999</v>
      </c>
      <c r="E29" s="33" t="n">
        <f aca="false">SUMIFS('Raw Data'!$I$2:$I$251,'Raw Data'!$C$2:$C$251,$A29,'Raw Data'!$D$2:$D$251,E$27)</f>
        <v>-838.31</v>
      </c>
      <c r="F29" s="34" t="n">
        <f aca="false">SUM(B29:E29)</f>
        <v>-1001.75</v>
      </c>
    </row>
    <row r="30" customFormat="false" ht="15" hidden="false" customHeight="true" outlineLevel="0" collapsed="false">
      <c r="A30" s="17" t="s">
        <v>322</v>
      </c>
      <c r="B30" s="33" t="n">
        <f aca="false">SUMIFS('Raw Data'!$I$2:$I$251,'Raw Data'!$C$2:$C$251,$A30,'Raw Data'!$D$2:$D$251,B$27)</f>
        <v>-687.43</v>
      </c>
      <c r="C30" s="33" t="n">
        <f aca="false">SUMIFS('Raw Data'!$I$2:$I$251,'Raw Data'!$C$2:$C$251,$A30,'Raw Data'!$D$2:$D$251,C$27)</f>
        <v>1352.82</v>
      </c>
      <c r="D30" s="33" t="n">
        <f aca="false">SUMIFS('Raw Data'!$I$2:$I$251,'Raw Data'!$C$2:$C$251,$A30,'Raw Data'!$D$2:$D$251,D$27)</f>
        <v>480.91</v>
      </c>
      <c r="E30" s="33" t="n">
        <f aca="false">SUMIFS('Raw Data'!$I$2:$I$251,'Raw Data'!$C$2:$C$251,$A30,'Raw Data'!$D$2:$D$251,E$27)</f>
        <v>170.67</v>
      </c>
      <c r="F30" s="34" t="n">
        <f aca="false">SUM(B30:E30)</f>
        <v>1316.97</v>
      </c>
    </row>
    <row r="31" customFormat="false" ht="15" hidden="false" customHeight="true" outlineLevel="0" collapsed="false">
      <c r="A31" s="17" t="s">
        <v>323</v>
      </c>
      <c r="B31" s="33" t="n">
        <f aca="false">SUMIFS('Raw Data'!$I$2:$I$251,'Raw Data'!$C$2:$C$251,$A31,'Raw Data'!$D$2:$D$251,B$27)</f>
        <v>2702.55</v>
      </c>
      <c r="C31" s="33" t="n">
        <f aca="false">SUMIFS('Raw Data'!$I$2:$I$251,'Raw Data'!$C$2:$C$251,$A31,'Raw Data'!$D$2:$D$251,C$27)</f>
        <v>2826.55</v>
      </c>
      <c r="D31" s="33" t="n">
        <f aca="false">SUMIFS('Raw Data'!$I$2:$I$251,'Raw Data'!$C$2:$C$251,$A31,'Raw Data'!$D$2:$D$251,D$27)</f>
        <v>-389.73</v>
      </c>
      <c r="E31" s="33" t="n">
        <f aca="false">SUMIFS('Raw Data'!$I$2:$I$251,'Raw Data'!$C$2:$C$251,$A31,'Raw Data'!$D$2:$D$251,E$27)</f>
        <v>1130.96</v>
      </c>
      <c r="F31" s="34" t="n">
        <f aca="false">SUM(B31:E31)</f>
        <v>6270.33</v>
      </c>
    </row>
    <row r="32" customFormat="false" ht="15" hidden="false" customHeight="true" outlineLevel="0" collapsed="false">
      <c r="A32" s="17" t="s">
        <v>324</v>
      </c>
      <c r="B32" s="33" t="n">
        <f aca="false">SUMIFS('Raw Data'!$I$2:$I$251,'Raw Data'!$C$2:$C$251,$A32,'Raw Data'!$D$2:$D$251,B$27)</f>
        <v>762.59</v>
      </c>
      <c r="C32" s="33" t="n">
        <f aca="false">SUMIFS('Raw Data'!$I$2:$I$251,'Raw Data'!$C$2:$C$251,$A32,'Raw Data'!$D$2:$D$251,C$27)</f>
        <v>213.01</v>
      </c>
      <c r="D32" s="33" t="n">
        <f aca="false">SUMIFS('Raw Data'!$I$2:$I$251,'Raw Data'!$C$2:$C$251,$A32,'Raw Data'!$D$2:$D$251,D$27)</f>
        <v>22.1599999999999</v>
      </c>
      <c r="E32" s="33" t="n">
        <f aca="false">SUMIFS('Raw Data'!$I$2:$I$251,'Raw Data'!$C$2:$C$251,$A32,'Raw Data'!$D$2:$D$251,E$27)</f>
        <v>1006.47</v>
      </c>
      <c r="F32" s="34" t="n">
        <f aca="false">SUM(B32:E32)</f>
        <v>2004.23</v>
      </c>
    </row>
    <row r="33" customFormat="false" ht="15" hidden="false" customHeight="true" outlineLevel="0" collapsed="false">
      <c r="A33" s="17" t="s">
        <v>325</v>
      </c>
      <c r="B33" s="33" t="n">
        <f aca="false">SUMIFS('Raw Data'!$I$2:$I$251,'Raw Data'!$C$2:$C$251,$A33,'Raw Data'!$D$2:$D$251,B$27)</f>
        <v>369.92</v>
      </c>
      <c r="C33" s="33" t="n">
        <f aca="false">SUMIFS('Raw Data'!$I$2:$I$251,'Raw Data'!$C$2:$C$251,$A33,'Raw Data'!$D$2:$D$251,C$27)</f>
        <v>-224.33</v>
      </c>
      <c r="D33" s="33" t="n">
        <f aca="false">SUMIFS('Raw Data'!$I$2:$I$251,'Raw Data'!$C$2:$C$251,$A33,'Raw Data'!$D$2:$D$251,D$27)</f>
        <v>-110.81</v>
      </c>
      <c r="E33" s="33" t="n">
        <f aca="false">SUMIFS('Raw Data'!$I$2:$I$251,'Raw Data'!$C$2:$C$251,$A33,'Raw Data'!$D$2:$D$251,E$27)</f>
        <v>-638.26</v>
      </c>
      <c r="F33" s="34" t="n">
        <f aca="false">SUM(B33:E33)</f>
        <v>-603.48</v>
      </c>
    </row>
    <row r="34" customFormat="false" ht="15" hidden="false" customHeight="true" outlineLevel="0" collapsed="false">
      <c r="A34" s="17" t="s">
        <v>326</v>
      </c>
      <c r="B34" s="33" t="n">
        <f aca="false">SUMIFS('Raw Data'!$I$2:$I$251,'Raw Data'!$C$2:$C$251,$A34,'Raw Data'!$D$2:$D$251,B$27)</f>
        <v>-2121.41</v>
      </c>
      <c r="C34" s="33" t="n">
        <f aca="false">SUMIFS('Raw Data'!$I$2:$I$251,'Raw Data'!$C$2:$C$251,$A34,'Raw Data'!$D$2:$D$251,C$27)</f>
        <v>13.48</v>
      </c>
      <c r="D34" s="33" t="n">
        <f aca="false">SUMIFS('Raw Data'!$I$2:$I$251,'Raw Data'!$C$2:$C$251,$A34,'Raw Data'!$D$2:$D$251,D$27)</f>
        <v>1384.56</v>
      </c>
      <c r="E34" s="33" t="n">
        <f aca="false">SUMIFS('Raw Data'!$I$2:$I$251,'Raw Data'!$C$2:$C$251,$A34,'Raw Data'!$D$2:$D$251,E$27)</f>
        <v>156.28</v>
      </c>
      <c r="F34" s="34" t="n">
        <f aca="false">SUM(B34:E34)</f>
        <v>-567.090000000001</v>
      </c>
    </row>
    <row r="35" customFormat="false" ht="15" hidden="false" customHeight="true" outlineLevel="0" collapsed="false">
      <c r="A35" s="17" t="s">
        <v>327</v>
      </c>
      <c r="B35" s="33" t="n">
        <f aca="false">SUMIFS('Raw Data'!$I$2:$I$251,'Raw Data'!$C$2:$C$251,$A35,'Raw Data'!$D$2:$D$251,B$27)</f>
        <v>-42.7600000000003</v>
      </c>
      <c r="C35" s="33" t="n">
        <f aca="false">SUMIFS('Raw Data'!$I$2:$I$251,'Raw Data'!$C$2:$C$251,$A35,'Raw Data'!$D$2:$D$251,C$27)</f>
        <v>436.53</v>
      </c>
      <c r="D35" s="33" t="n">
        <f aca="false">SUMIFS('Raw Data'!$I$2:$I$251,'Raw Data'!$C$2:$C$251,$A35,'Raw Data'!$D$2:$D$251,D$27)</f>
        <v>3009.02</v>
      </c>
      <c r="E35" s="33" t="n">
        <f aca="false">SUMIFS('Raw Data'!$I$2:$I$251,'Raw Data'!$C$2:$C$251,$A35,'Raw Data'!$D$2:$D$251,E$27)</f>
        <v>929.81</v>
      </c>
      <c r="F35" s="34" t="n">
        <f aca="false">SUM(B35:E35)</f>
        <v>4332.6</v>
      </c>
    </row>
    <row r="36" customFormat="false" ht="15" hidden="false" customHeight="true" outlineLevel="0" collapsed="false">
      <c r="A36" s="17" t="s">
        <v>328</v>
      </c>
      <c r="B36" s="33" t="n">
        <f aca="false">SUMIFS('Raw Data'!$I$2:$I$251,'Raw Data'!$C$2:$C$251,$A36,'Raw Data'!$D$2:$D$251,B$27)</f>
        <v>61.9899999999999</v>
      </c>
      <c r="C36" s="33" t="n">
        <f aca="false">SUMIFS('Raw Data'!$I$2:$I$251,'Raw Data'!$C$2:$C$251,$A36,'Raw Data'!$D$2:$D$251,C$27)</f>
        <v>-73.1199999999999</v>
      </c>
      <c r="D36" s="33" t="n">
        <f aca="false">SUMIFS('Raw Data'!$I$2:$I$251,'Raw Data'!$C$2:$C$251,$A36,'Raw Data'!$D$2:$D$251,D$27)</f>
        <v>-1066.43</v>
      </c>
      <c r="E36" s="33" t="n">
        <f aca="false">SUMIFS('Raw Data'!$I$2:$I$251,'Raw Data'!$C$2:$C$251,$A36,'Raw Data'!$D$2:$D$251,E$27)</f>
        <v>-1070.07</v>
      </c>
      <c r="F36" s="34" t="n">
        <f aca="false">SUM(B36:E36)</f>
        <v>-2147.63</v>
      </c>
    </row>
    <row r="37" customFormat="false" ht="15" hidden="false" customHeight="true" outlineLevel="0" collapsed="false">
      <c r="A37" s="17" t="s">
        <v>329</v>
      </c>
      <c r="B37" s="33" t="n">
        <f aca="false">SUMIFS('Raw Data'!$I$2:$I$251,'Raw Data'!$C$2:$C$251,$A37,'Raw Data'!$D$2:$D$251,B$27)</f>
        <v>2598.48</v>
      </c>
      <c r="C37" s="33" t="n">
        <f aca="false">SUMIFS('Raw Data'!$I$2:$I$251,'Raw Data'!$C$2:$C$251,$A37,'Raw Data'!$D$2:$D$251,C$27)</f>
        <v>-877.320000000001</v>
      </c>
      <c r="D37" s="33" t="n">
        <f aca="false">SUMIFS('Raw Data'!$I$2:$I$251,'Raw Data'!$C$2:$C$251,$A37,'Raw Data'!$D$2:$D$251,D$27)</f>
        <v>-250.44</v>
      </c>
      <c r="E37" s="33" t="n">
        <f aca="false">SUMIFS('Raw Data'!$I$2:$I$251,'Raw Data'!$C$2:$C$251,$A37,'Raw Data'!$D$2:$D$251,E$27)</f>
        <v>1095.36</v>
      </c>
      <c r="F37" s="34" t="n">
        <f aca="false">SUM(B37:E37)</f>
        <v>2566.08</v>
      </c>
    </row>
    <row r="38" customFormat="false" ht="15" hidden="false" customHeight="true" outlineLevel="0" collapsed="false">
      <c r="A38" s="17" t="s">
        <v>330</v>
      </c>
      <c r="B38" s="33" t="n">
        <f aca="false">SUMIFS('Raw Data'!$I$2:$I$251,'Raw Data'!$C$2:$C$251,$A38,'Raw Data'!$D$2:$D$251,B$27)</f>
        <v>-48.8999999999994</v>
      </c>
      <c r="C38" s="33" t="n">
        <f aca="false">SUMIFS('Raw Data'!$I$2:$I$251,'Raw Data'!$C$2:$C$251,$A38,'Raw Data'!$D$2:$D$251,C$27)</f>
        <v>-199.35</v>
      </c>
      <c r="D38" s="33" t="n">
        <f aca="false">SUMIFS('Raw Data'!$I$2:$I$251,'Raw Data'!$C$2:$C$251,$A38,'Raw Data'!$D$2:$D$251,D$27)</f>
        <v>-2964.9</v>
      </c>
      <c r="E38" s="33" t="n">
        <f aca="false">SUMIFS('Raw Data'!$I$2:$I$251,'Raw Data'!$C$2:$C$251,$A38,'Raw Data'!$D$2:$D$251,E$27)</f>
        <v>-22.5900000000001</v>
      </c>
      <c r="F38" s="34" t="n">
        <f aca="false">SUM(B38:E38)</f>
        <v>-3235.74</v>
      </c>
    </row>
    <row r="39" customFormat="false" ht="15" hidden="false" customHeight="true" outlineLevel="0" collapsed="false">
      <c r="A39" s="17" t="s">
        <v>331</v>
      </c>
      <c r="B39" s="33" t="n">
        <f aca="false">SUMIFS('Raw Data'!$I$2:$I$251,'Raw Data'!$C$2:$C$251,$A39,'Raw Data'!$D$2:$D$251,B$27)</f>
        <v>2216.88</v>
      </c>
      <c r="C39" s="33" t="n">
        <f aca="false">SUMIFS('Raw Data'!$I$2:$I$251,'Raw Data'!$C$2:$C$251,$A39,'Raw Data'!$D$2:$D$251,C$27)</f>
        <v>2504.57</v>
      </c>
      <c r="D39" s="33" t="n">
        <f aca="false">SUMIFS('Raw Data'!$I$2:$I$251,'Raw Data'!$C$2:$C$251,$A39,'Raw Data'!$D$2:$D$251,D$27)</f>
        <v>-1455</v>
      </c>
      <c r="E39" s="33" t="n">
        <f aca="false">SUMIFS('Raw Data'!$I$2:$I$251,'Raw Data'!$C$2:$C$251,$A39,'Raw Data'!$D$2:$D$251,E$27)</f>
        <v>-489.05</v>
      </c>
      <c r="F39" s="34" t="n">
        <f aca="false">SUM(B39:E39)</f>
        <v>2777.4</v>
      </c>
    </row>
    <row r="40" customFormat="false" ht="15" hidden="false" customHeight="true" outlineLevel="0" collapsed="false">
      <c r="A40" s="29" t="s">
        <v>336</v>
      </c>
      <c r="B40" s="35" t="n">
        <f aca="false">SUM(B28:B39)</f>
        <v>7164.33</v>
      </c>
      <c r="C40" s="35" t="n">
        <f aca="false">SUM(C28:C39)</f>
        <v>4218.28</v>
      </c>
      <c r="D40" s="35" t="n">
        <f aca="false">SUM(D28:D39)</f>
        <v>327.699999999999</v>
      </c>
      <c r="E40" s="35" t="n">
        <f aca="false">SUM(E28:E39)</f>
        <v>1326.35</v>
      </c>
      <c r="F40" s="35" t="n">
        <f aca="false">SUM(F28:F39)</f>
        <v>13036.66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3</v>
      </c>
      <c r="B1" s="1" t="s">
        <v>3</v>
      </c>
      <c r="C1" s="1" t="s">
        <v>3</v>
      </c>
    </row>
    <row r="2" customFormat="false" ht="15" hidden="false" customHeight="true" outlineLevel="0" collapsed="false">
      <c r="A2" s="1" t="s">
        <v>33</v>
      </c>
      <c r="B2" s="1" t="s">
        <v>34</v>
      </c>
      <c r="C2" s="1" t="s">
        <v>23</v>
      </c>
    </row>
    <row r="3" customFormat="false" ht="15" hidden="false" customHeight="true" outlineLevel="0" collapsed="false">
      <c r="A3" s="1" t="s">
        <v>56</v>
      </c>
      <c r="B3" s="1" t="s">
        <v>40</v>
      </c>
      <c r="C3" s="1" t="s">
        <v>24</v>
      </c>
    </row>
    <row r="4" customFormat="false" ht="15" hidden="false" customHeight="true" outlineLevel="0" collapsed="false">
      <c r="A4" s="1" t="s">
        <v>50</v>
      </c>
      <c r="B4" s="1" t="s">
        <v>43</v>
      </c>
      <c r="C4" s="1" t="s">
        <v>25</v>
      </c>
    </row>
    <row r="5" customFormat="false" ht="15" hidden="false" customHeight="true" outlineLevel="0" collapsed="false">
      <c r="A5" s="1" t="s">
        <v>37</v>
      </c>
      <c r="B5" s="1" t="s">
        <v>51</v>
      </c>
    </row>
    <row r="6" customFormat="false" ht="15" hidden="false" customHeight="true" outlineLevel="0" collapsed="false">
      <c r="B6" s="1" t="s">
        <v>53</v>
      </c>
    </row>
    <row r="7" customFormat="false" ht="15" hidden="false" customHeight="true" outlineLevel="0" collapsed="false">
      <c r="B7" s="1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2026-07-07T09:52:19Z</dcterms:created>
  <dc:creator>openpyxl</dc:creator>
  <dc:description/>
  <dc:language>en-US</dc:language>
  <cp:lastModifiedBy/>
  <dcterms:modified xsi:type="dcterms:W3CDTF">2026-07-07T09:55:37Z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